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z-soukei6\disk1\反町\1コーホート要因法\00_datacsv\"/>
    </mc:Choice>
  </mc:AlternateContent>
  <xr:revisionPtr revIDLastSave="0" documentId="13_ncr:1_{BD408249-C3B1-441D-BF0B-739FBDAA8E94}" xr6:coauthVersionLast="46" xr6:coauthVersionMax="46" xr10:uidLastSave="{00000000-0000-0000-0000-000000000000}"/>
  <bookViews>
    <workbookView xWindow="2685" yWindow="2685" windowWidth="21600" windowHeight="11385" xr2:uid="{EBD02381-0369-40FB-992C-428969D50E8E}"/>
  </bookViews>
  <sheets>
    <sheet name="main" sheetId="3" r:id="rId1"/>
    <sheet name="output" sheetId="4" r:id="rId2"/>
    <sheet name="計算式" sheetId="5" r:id="rId3"/>
    <sheet name="shukei" sheetId="1" r:id="rId4"/>
    <sheet name="datasheet" sheetId="2" r:id="rId5"/>
  </sheets>
  <externalReferences>
    <externalReference r:id="rId6"/>
    <externalReference r:id="rId7"/>
    <externalReference r:id="rId8"/>
    <externalReference r:id="rId9"/>
  </externalReferences>
  <definedNames>
    <definedName name="国勢調査">datasheet!$A:$A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5" i="1" l="1"/>
  <c r="Z4" i="1"/>
  <c r="Y4" i="1"/>
  <c r="X4" i="1"/>
  <c r="Z70" i="5" l="1"/>
  <c r="Z69" i="5"/>
  <c r="AF2" i="4" l="1"/>
  <c r="U2" i="4" l="1"/>
  <c r="J2" i="4"/>
  <c r="D8" i="1" l="1"/>
  <c r="D22" i="1" s="1"/>
  <c r="E4" i="1"/>
  <c r="Y5" i="1"/>
  <c r="X5" i="1"/>
  <c r="W5" i="1"/>
  <c r="W4" i="1"/>
  <c r="V5" i="1"/>
  <c r="V4" i="1"/>
  <c r="U5" i="1"/>
  <c r="U4" i="1"/>
  <c r="T5" i="1"/>
  <c r="T4" i="1"/>
  <c r="S5" i="1"/>
  <c r="S4" i="1"/>
  <c r="R5" i="1"/>
  <c r="R4" i="1"/>
  <c r="Q5" i="1"/>
  <c r="Q4" i="1"/>
  <c r="P5" i="1"/>
  <c r="P4" i="1"/>
  <c r="O5" i="1"/>
  <c r="O4" i="1"/>
  <c r="N5" i="1"/>
  <c r="N4" i="1"/>
  <c r="M5" i="1"/>
  <c r="M4" i="1"/>
  <c r="L5" i="1"/>
  <c r="L4" i="1"/>
  <c r="K5" i="1"/>
  <c r="K4" i="1"/>
  <c r="J5" i="1"/>
  <c r="J4" i="1"/>
  <c r="I5" i="1"/>
  <c r="I4" i="1"/>
  <c r="H5" i="1"/>
  <c r="H4" i="1"/>
  <c r="G5" i="1"/>
  <c r="G4" i="1"/>
  <c r="AA5" i="1"/>
  <c r="AA4" i="1"/>
  <c r="F5" i="1"/>
  <c r="B5" i="1"/>
  <c r="C5" i="1"/>
  <c r="D5" i="1"/>
  <c r="D4" i="1"/>
  <c r="F4" i="1"/>
  <c r="B4" i="1"/>
  <c r="C4" i="1"/>
  <c r="AB4" i="1" l="1"/>
  <c r="W31" i="1" s="1"/>
  <c r="D31" i="1"/>
  <c r="D80" i="1"/>
  <c r="D74" i="1"/>
  <c r="D61" i="1"/>
  <c r="D67" i="1"/>
  <c r="AB5" i="1"/>
  <c r="Y38" i="1" s="1"/>
  <c r="D48" i="1"/>
  <c r="D54" i="1"/>
  <c r="D38" i="1"/>
  <c r="D15" i="1"/>
  <c r="F38" i="1" l="1"/>
  <c r="F31" i="1"/>
  <c r="N38" i="1"/>
  <c r="V38" i="1"/>
  <c r="T38" i="1"/>
  <c r="I38" i="1"/>
  <c r="W38" i="1"/>
  <c r="J38" i="1"/>
  <c r="S38" i="1"/>
  <c r="H38" i="1"/>
  <c r="Z38" i="1"/>
  <c r="Q38" i="1"/>
  <c r="R38" i="1"/>
  <c r="M38" i="1"/>
  <c r="P38" i="1"/>
  <c r="M31" i="1"/>
  <c r="G38" i="1"/>
  <c r="L38" i="1"/>
  <c r="O38" i="1"/>
  <c r="X38" i="1"/>
  <c r="Y31" i="1"/>
  <c r="I31" i="1"/>
  <c r="V31" i="1"/>
  <c r="Q31" i="1"/>
  <c r="P31" i="1"/>
  <c r="H31" i="1"/>
  <c r="U31" i="1"/>
  <c r="J31" i="1"/>
  <c r="R31" i="1"/>
  <c r="X31" i="1"/>
  <c r="T31" i="1"/>
  <c r="Z31" i="1"/>
  <c r="L31" i="1"/>
  <c r="G31" i="1"/>
  <c r="K31" i="1"/>
  <c r="O31" i="1"/>
  <c r="U38" i="1"/>
  <c r="K38" i="1"/>
  <c r="S31" i="1"/>
  <c r="N31" i="1"/>
  <c r="F79" i="1" a="1"/>
  <c r="F79" i="1" s="1"/>
  <c r="F78" i="1" a="1"/>
  <c r="F78" i="1" s="1"/>
  <c r="F77" i="1" a="1"/>
  <c r="F77" i="1" s="1"/>
  <c r="F76" i="1" a="1"/>
  <c r="F76" i="1" s="1"/>
  <c r="F75" i="1" a="1"/>
  <c r="F75" i="1" s="1"/>
  <c r="F74" i="1" a="1"/>
  <c r="F74" i="1" s="1"/>
  <c r="W58" i="1" a="1"/>
  <c r="W58" i="1" s="1"/>
  <c r="V56" i="1" a="1"/>
  <c r="V56" i="1" s="1"/>
  <c r="U54" i="1" a="1"/>
  <c r="U54" i="1" s="1"/>
  <c r="S58" i="1" a="1"/>
  <c r="S58" i="1" s="1"/>
  <c r="R56" i="1" a="1"/>
  <c r="R56" i="1" s="1"/>
  <c r="Q54" i="1" a="1"/>
  <c r="Q54" i="1" s="1"/>
  <c r="O58" i="1" a="1"/>
  <c r="O58" i="1" s="1"/>
  <c r="N56" i="1" a="1"/>
  <c r="N56" i="1" s="1"/>
  <c r="M54" i="1" a="1"/>
  <c r="M54" i="1" s="1"/>
  <c r="K58" i="1" a="1"/>
  <c r="K58" i="1" s="1"/>
  <c r="J56" i="1" a="1"/>
  <c r="J56" i="1" s="1"/>
  <c r="I54" i="1" a="1"/>
  <c r="I54" i="1" s="1"/>
  <c r="G58" i="1" a="1"/>
  <c r="G58" i="1" s="1"/>
  <c r="V58" i="1" a="1"/>
  <c r="V58" i="1" s="1"/>
  <c r="N58" i="1" a="1"/>
  <c r="N58" i="1" s="1"/>
  <c r="H54" i="1" a="1"/>
  <c r="H54" i="1" s="1"/>
  <c r="W59" i="1" a="1"/>
  <c r="W59" i="1" s="1"/>
  <c r="O59" i="1" a="1"/>
  <c r="O59" i="1" s="1"/>
  <c r="G59" i="1" a="1"/>
  <c r="G59" i="1" s="1"/>
  <c r="W57" i="1" a="1"/>
  <c r="W57" i="1" s="1"/>
  <c r="V55" i="1" a="1"/>
  <c r="V55" i="1" s="1"/>
  <c r="T59" i="1" a="1"/>
  <c r="T59" i="1" s="1"/>
  <c r="S57" i="1" a="1"/>
  <c r="S57" i="1" s="1"/>
  <c r="R55" i="1" a="1"/>
  <c r="R55" i="1" s="1"/>
  <c r="P59" i="1" a="1"/>
  <c r="P59" i="1" s="1"/>
  <c r="O57" i="1" a="1"/>
  <c r="O57" i="1" s="1"/>
  <c r="N55" i="1" a="1"/>
  <c r="N55" i="1" s="1"/>
  <c r="L59" i="1" a="1"/>
  <c r="L59" i="1" s="1"/>
  <c r="K57" i="1" a="1"/>
  <c r="K57" i="1" s="1"/>
  <c r="J55" i="1" a="1"/>
  <c r="J55" i="1" s="1"/>
  <c r="H59" i="1" a="1"/>
  <c r="H59" i="1" s="1"/>
  <c r="G57" i="1" a="1"/>
  <c r="G57" i="1" s="1"/>
  <c r="Q56" i="1" a="1"/>
  <c r="Q56" i="1" s="1"/>
  <c r="I56" i="1" a="1"/>
  <c r="I56" i="1" s="1"/>
  <c r="V57" i="1" a="1"/>
  <c r="V57" i="1" s="1"/>
  <c r="N57" i="1" a="1"/>
  <c r="N57" i="1" s="1"/>
  <c r="W56" i="1" a="1"/>
  <c r="W56" i="1" s="1"/>
  <c r="V54" i="1" a="1"/>
  <c r="V54" i="1" s="1"/>
  <c r="T58" i="1" a="1"/>
  <c r="T58" i="1" s="1"/>
  <c r="S56" i="1" a="1"/>
  <c r="S56" i="1" s="1"/>
  <c r="R54" i="1" a="1"/>
  <c r="R54" i="1" s="1"/>
  <c r="P58" i="1" a="1"/>
  <c r="P58" i="1" s="1"/>
  <c r="O56" i="1" a="1"/>
  <c r="O56" i="1" s="1"/>
  <c r="N54" i="1" a="1"/>
  <c r="N54" i="1" s="1"/>
  <c r="L58" i="1" a="1"/>
  <c r="L58" i="1" s="1"/>
  <c r="K56" i="1" a="1"/>
  <c r="K56" i="1" s="1"/>
  <c r="J54" i="1" a="1"/>
  <c r="J54" i="1" s="1"/>
  <c r="H58" i="1" a="1"/>
  <c r="H58" i="1" s="1"/>
  <c r="G56" i="1" a="1"/>
  <c r="G56" i="1" s="1"/>
  <c r="P54" i="1" a="1"/>
  <c r="P54" i="1" s="1"/>
  <c r="Q55" i="1" a="1"/>
  <c r="Q55" i="1" s="1"/>
  <c r="K59" i="1" a="1"/>
  <c r="K59" i="1" s="1"/>
  <c r="W55" i="1" a="1"/>
  <c r="W55" i="1" s="1"/>
  <c r="U59" i="1" a="1"/>
  <c r="U59" i="1" s="1"/>
  <c r="T57" i="1" a="1"/>
  <c r="T57" i="1" s="1"/>
  <c r="S55" i="1" a="1"/>
  <c r="S55" i="1" s="1"/>
  <c r="Q59" i="1" a="1"/>
  <c r="Q59" i="1" s="1"/>
  <c r="P57" i="1" a="1"/>
  <c r="P57" i="1" s="1"/>
  <c r="O55" i="1" a="1"/>
  <c r="O55" i="1" s="1"/>
  <c r="M59" i="1" a="1"/>
  <c r="M59" i="1" s="1"/>
  <c r="L57" i="1" a="1"/>
  <c r="L57" i="1" s="1"/>
  <c r="K55" i="1" a="1"/>
  <c r="K55" i="1" s="1"/>
  <c r="I59" i="1" a="1"/>
  <c r="I59" i="1" s="1"/>
  <c r="H57" i="1" a="1"/>
  <c r="H57" i="1" s="1"/>
  <c r="G55" i="1" a="1"/>
  <c r="G55" i="1" s="1"/>
  <c r="U56" i="1" a="1"/>
  <c r="U56" i="1" s="1"/>
  <c r="L54" i="1" a="1"/>
  <c r="L54" i="1" s="1"/>
  <c r="U55" i="1" a="1"/>
  <c r="U55" i="1" s="1"/>
  <c r="M55" i="1" a="1"/>
  <c r="M55" i="1" s="1"/>
  <c r="W54" i="1" a="1"/>
  <c r="W54" i="1" s="1"/>
  <c r="U58" i="1" a="1"/>
  <c r="U58" i="1" s="1"/>
  <c r="T56" i="1" a="1"/>
  <c r="T56" i="1" s="1"/>
  <c r="S54" i="1" a="1"/>
  <c r="S54" i="1" s="1"/>
  <c r="Q58" i="1" a="1"/>
  <c r="Q58" i="1" s="1"/>
  <c r="P56" i="1" a="1"/>
  <c r="P56" i="1" s="1"/>
  <c r="O54" i="1" a="1"/>
  <c r="O54" i="1" s="1"/>
  <c r="M58" i="1" a="1"/>
  <c r="M58" i="1" s="1"/>
  <c r="L56" i="1" a="1"/>
  <c r="L56" i="1" s="1"/>
  <c r="K54" i="1" a="1"/>
  <c r="K54" i="1" s="1"/>
  <c r="I58" i="1" a="1"/>
  <c r="I58" i="1" s="1"/>
  <c r="H56" i="1" a="1"/>
  <c r="H56" i="1" s="1"/>
  <c r="G54" i="1" a="1"/>
  <c r="G54" i="1" s="1"/>
  <c r="T54" i="1" a="1"/>
  <c r="T54" i="1" s="1"/>
  <c r="M56" i="1" a="1"/>
  <c r="M56" i="1" s="1"/>
  <c r="R57" i="1" a="1"/>
  <c r="R57" i="1" s="1"/>
  <c r="J57" i="1" a="1"/>
  <c r="J57" i="1" s="1"/>
  <c r="V59" i="1" a="1"/>
  <c r="V59" i="1" s="1"/>
  <c r="U57" i="1" a="1"/>
  <c r="U57" i="1" s="1"/>
  <c r="T55" i="1" a="1"/>
  <c r="T55" i="1" s="1"/>
  <c r="R59" i="1" a="1"/>
  <c r="R59" i="1" s="1"/>
  <c r="Q57" i="1" a="1"/>
  <c r="Q57" i="1" s="1"/>
  <c r="P55" i="1" a="1"/>
  <c r="P55" i="1" s="1"/>
  <c r="N59" i="1" a="1"/>
  <c r="N59" i="1" s="1"/>
  <c r="M57" i="1" a="1"/>
  <c r="M57" i="1" s="1"/>
  <c r="L55" i="1" a="1"/>
  <c r="L55" i="1" s="1"/>
  <c r="J59" i="1" a="1"/>
  <c r="J59" i="1" s="1"/>
  <c r="I57" i="1" a="1"/>
  <c r="I57" i="1" s="1"/>
  <c r="H55" i="1" a="1"/>
  <c r="H55" i="1" s="1"/>
  <c r="R58" i="1" a="1"/>
  <c r="R58" i="1" s="1"/>
  <c r="J58" i="1" a="1"/>
  <c r="J58" i="1" s="1"/>
  <c r="S59" i="1" a="1"/>
  <c r="S59" i="1" s="1"/>
  <c r="I55" i="1" a="1"/>
  <c r="I55" i="1" s="1"/>
  <c r="F85" i="1" a="1"/>
  <c r="F85" i="1" s="1"/>
  <c r="F84" i="1" a="1"/>
  <c r="F84" i="1" s="1"/>
  <c r="F83" i="1" a="1"/>
  <c r="F83" i="1" s="1"/>
  <c r="F82" i="1" a="1"/>
  <c r="F82" i="1" s="1"/>
  <c r="F81" i="1" a="1"/>
  <c r="F81" i="1" s="1"/>
  <c r="F80" i="1" a="1"/>
  <c r="F80" i="1" s="1"/>
  <c r="W67" i="1" a="1"/>
  <c r="W67" i="1" s="1"/>
  <c r="V70" i="1" a="1"/>
  <c r="V70" i="1" s="1"/>
  <c r="U68" i="1" a="1"/>
  <c r="U68" i="1" s="1"/>
  <c r="S72" i="1" a="1"/>
  <c r="S72" i="1" s="1"/>
  <c r="R70" i="1" a="1"/>
  <c r="R70" i="1" s="1"/>
  <c r="Q68" i="1" a="1"/>
  <c r="Q68" i="1" s="1"/>
  <c r="O72" i="1" a="1"/>
  <c r="O72" i="1" s="1"/>
  <c r="N70" i="1" a="1"/>
  <c r="N70" i="1" s="1"/>
  <c r="M68" i="1" a="1"/>
  <c r="M68" i="1" s="1"/>
  <c r="K72" i="1" a="1"/>
  <c r="K72" i="1" s="1"/>
  <c r="J70" i="1" a="1"/>
  <c r="J70" i="1" s="1"/>
  <c r="I68" i="1" a="1"/>
  <c r="I68" i="1" s="1"/>
  <c r="G72" i="1" a="1"/>
  <c r="G72" i="1" s="1"/>
  <c r="F69" i="1" a="1"/>
  <c r="F69" i="1" s="1"/>
  <c r="Q70" i="1" a="1"/>
  <c r="Q70" i="1" s="1"/>
  <c r="J72" i="1" a="1"/>
  <c r="J72" i="1" s="1"/>
  <c r="N71" i="1" a="1"/>
  <c r="N71" i="1" s="1"/>
  <c r="H67" i="1" a="1"/>
  <c r="H67" i="1" s="1"/>
  <c r="W72" i="1" a="1"/>
  <c r="W72" i="1" s="1"/>
  <c r="V69" i="1" a="1"/>
  <c r="V69" i="1" s="1"/>
  <c r="U67" i="1" a="1"/>
  <c r="U67" i="1" s="1"/>
  <c r="S71" i="1" a="1"/>
  <c r="S71" i="1" s="1"/>
  <c r="R69" i="1" a="1"/>
  <c r="R69" i="1" s="1"/>
  <c r="Q67" i="1" a="1"/>
  <c r="Q67" i="1" s="1"/>
  <c r="O71" i="1" a="1"/>
  <c r="O71" i="1" s="1"/>
  <c r="N69" i="1" a="1"/>
  <c r="N69" i="1" s="1"/>
  <c r="M67" i="1" a="1"/>
  <c r="M67" i="1" s="1"/>
  <c r="K71" i="1" a="1"/>
  <c r="K71" i="1" s="1"/>
  <c r="J69" i="1" a="1"/>
  <c r="J69" i="1" s="1"/>
  <c r="I67" i="1" a="1"/>
  <c r="I67" i="1" s="1"/>
  <c r="G71" i="1" a="1"/>
  <c r="G71" i="1" s="1"/>
  <c r="F68" i="1" a="1"/>
  <c r="F68" i="1" s="1"/>
  <c r="T68" i="1" a="1"/>
  <c r="T68" i="1" s="1"/>
  <c r="R72" i="1" a="1"/>
  <c r="R72" i="1" s="1"/>
  <c r="N72" i="1" a="1"/>
  <c r="N72" i="1" s="1"/>
  <c r="I70" i="1" a="1"/>
  <c r="I70" i="1" s="1"/>
  <c r="U69" i="1" a="1"/>
  <c r="U69" i="1" s="1"/>
  <c r="R71" i="1" a="1"/>
  <c r="R71" i="1" s="1"/>
  <c r="M69" i="1" a="1"/>
  <c r="M69" i="1" s="1"/>
  <c r="W71" i="1" a="1"/>
  <c r="W71" i="1" s="1"/>
  <c r="V68" i="1" a="1"/>
  <c r="V68" i="1" s="1"/>
  <c r="T72" i="1" a="1"/>
  <c r="T72" i="1" s="1"/>
  <c r="S70" i="1" a="1"/>
  <c r="S70" i="1" s="1"/>
  <c r="R68" i="1" a="1"/>
  <c r="R68" i="1" s="1"/>
  <c r="P72" i="1" a="1"/>
  <c r="P72" i="1" s="1"/>
  <c r="O70" i="1" a="1"/>
  <c r="O70" i="1" s="1"/>
  <c r="N68" i="1" a="1"/>
  <c r="N68" i="1" s="1"/>
  <c r="L72" i="1" a="1"/>
  <c r="L72" i="1" s="1"/>
  <c r="K70" i="1" a="1"/>
  <c r="K70" i="1" s="1"/>
  <c r="J68" i="1" a="1"/>
  <c r="J68" i="1" s="1"/>
  <c r="H72" i="1" a="1"/>
  <c r="H72" i="1" s="1"/>
  <c r="G70" i="1" a="1"/>
  <c r="G70" i="1" s="1"/>
  <c r="F67" i="1" a="1"/>
  <c r="F67" i="1" s="1"/>
  <c r="U70" i="1" a="1"/>
  <c r="U70" i="1" s="1"/>
  <c r="P68" i="1" a="1"/>
  <c r="P68" i="1" s="1"/>
  <c r="H68" i="1" a="1"/>
  <c r="H68" i="1" s="1"/>
  <c r="F71" i="1" a="1"/>
  <c r="F71" i="1" s="1"/>
  <c r="T67" i="1" a="1"/>
  <c r="T67" i="1" s="1"/>
  <c r="J71" i="1" a="1"/>
  <c r="J71" i="1" s="1"/>
  <c r="F70" i="1" a="1"/>
  <c r="F70" i="1" s="1"/>
  <c r="W70" i="1" a="1"/>
  <c r="W70" i="1" s="1"/>
  <c r="V67" i="1" a="1"/>
  <c r="V67" i="1" s="1"/>
  <c r="T71" i="1" a="1"/>
  <c r="T71" i="1" s="1"/>
  <c r="S69" i="1" a="1"/>
  <c r="S69" i="1" s="1"/>
  <c r="R67" i="1" a="1"/>
  <c r="R67" i="1" s="1"/>
  <c r="P71" i="1" a="1"/>
  <c r="P71" i="1" s="1"/>
  <c r="O69" i="1" a="1"/>
  <c r="O69" i="1" s="1"/>
  <c r="N67" i="1" a="1"/>
  <c r="N67" i="1" s="1"/>
  <c r="L71" i="1" a="1"/>
  <c r="L71" i="1" s="1"/>
  <c r="K69" i="1" a="1"/>
  <c r="K69" i="1" s="1"/>
  <c r="J67" i="1" a="1"/>
  <c r="J67" i="1" s="1"/>
  <c r="H71" i="1" a="1"/>
  <c r="H71" i="1" s="1"/>
  <c r="G69" i="1" a="1"/>
  <c r="G69" i="1" s="1"/>
  <c r="V72" i="1" a="1"/>
  <c r="V72" i="1" s="1"/>
  <c r="M70" i="1" a="1"/>
  <c r="M70" i="1" s="1"/>
  <c r="V71" i="1" a="1"/>
  <c r="V71" i="1" s="1"/>
  <c r="Q69" i="1" a="1"/>
  <c r="Q69" i="1" s="1"/>
  <c r="I69" i="1" a="1"/>
  <c r="I69" i="1" s="1"/>
  <c r="W69" i="1" a="1"/>
  <c r="W69" i="1" s="1"/>
  <c r="U72" i="1" a="1"/>
  <c r="U72" i="1" s="1"/>
  <c r="T70" i="1" a="1"/>
  <c r="T70" i="1" s="1"/>
  <c r="S68" i="1" a="1"/>
  <c r="S68" i="1" s="1"/>
  <c r="Q72" i="1" a="1"/>
  <c r="Q72" i="1" s="1"/>
  <c r="P70" i="1" a="1"/>
  <c r="P70" i="1" s="1"/>
  <c r="O68" i="1" a="1"/>
  <c r="O68" i="1" s="1"/>
  <c r="M72" i="1" a="1"/>
  <c r="M72" i="1" s="1"/>
  <c r="L70" i="1" a="1"/>
  <c r="L70" i="1" s="1"/>
  <c r="K68" i="1" a="1"/>
  <c r="K68" i="1" s="1"/>
  <c r="I72" i="1" a="1"/>
  <c r="I72" i="1" s="1"/>
  <c r="H70" i="1" a="1"/>
  <c r="H70" i="1" s="1"/>
  <c r="G68" i="1" a="1"/>
  <c r="G68" i="1" s="1"/>
  <c r="L67" i="1" a="1"/>
  <c r="L67" i="1" s="1"/>
  <c r="W68" i="1" a="1"/>
  <c r="W68" i="1" s="1"/>
  <c r="U71" i="1" a="1"/>
  <c r="U71" i="1" s="1"/>
  <c r="T69" i="1" a="1"/>
  <c r="T69" i="1" s="1"/>
  <c r="S67" i="1" a="1"/>
  <c r="S67" i="1" s="1"/>
  <c r="Q71" i="1" a="1"/>
  <c r="Q71" i="1" s="1"/>
  <c r="P69" i="1" a="1"/>
  <c r="P69" i="1" s="1"/>
  <c r="O67" i="1" a="1"/>
  <c r="O67" i="1" s="1"/>
  <c r="M71" i="1" a="1"/>
  <c r="M71" i="1" s="1"/>
  <c r="L69" i="1" a="1"/>
  <c r="L69" i="1" s="1"/>
  <c r="K67" i="1" a="1"/>
  <c r="K67" i="1" s="1"/>
  <c r="I71" i="1" a="1"/>
  <c r="I71" i="1" s="1"/>
  <c r="H69" i="1" a="1"/>
  <c r="H69" i="1" s="1"/>
  <c r="G67" i="1" a="1"/>
  <c r="G67" i="1" s="1"/>
  <c r="F72" i="1" a="1"/>
  <c r="F72" i="1" s="1"/>
  <c r="L68" i="1" a="1"/>
  <c r="L68" i="1" s="1"/>
  <c r="P67" i="1" a="1"/>
  <c r="P67" i="1" s="1"/>
  <c r="V66" i="1" a="1"/>
  <c r="V66" i="1" s="1"/>
  <c r="U64" i="1" a="1"/>
  <c r="U64" i="1" s="1"/>
  <c r="T62" i="1" a="1"/>
  <c r="T62" i="1" s="1"/>
  <c r="R66" i="1" a="1"/>
  <c r="R66" i="1" s="1"/>
  <c r="Q64" i="1" a="1"/>
  <c r="Q64" i="1" s="1"/>
  <c r="P62" i="1" a="1"/>
  <c r="P62" i="1" s="1"/>
  <c r="N66" i="1" a="1"/>
  <c r="N66" i="1" s="1"/>
  <c r="M64" i="1" a="1"/>
  <c r="M64" i="1" s="1"/>
  <c r="L62" i="1" a="1"/>
  <c r="L62" i="1" s="1"/>
  <c r="J66" i="1" a="1"/>
  <c r="J66" i="1" s="1"/>
  <c r="I64" i="1" a="1"/>
  <c r="I64" i="1" s="1"/>
  <c r="H62" i="1" a="1"/>
  <c r="H62" i="1" s="1"/>
  <c r="F66" i="1" a="1"/>
  <c r="F66" i="1" s="1"/>
  <c r="P64" i="1" a="1"/>
  <c r="P64" i="1" s="1"/>
  <c r="H64" i="1" a="1"/>
  <c r="H64" i="1" s="1"/>
  <c r="S61" i="1" a="1"/>
  <c r="S61" i="1" s="1"/>
  <c r="L63" i="1" a="1"/>
  <c r="L63" i="1" s="1"/>
  <c r="V65" i="1" a="1"/>
  <c r="V65" i="1" s="1"/>
  <c r="U63" i="1" a="1"/>
  <c r="U63" i="1" s="1"/>
  <c r="T61" i="1" a="1"/>
  <c r="T61" i="1" s="1"/>
  <c r="R65" i="1" a="1"/>
  <c r="R65" i="1" s="1"/>
  <c r="Q63" i="1" a="1"/>
  <c r="Q63" i="1" s="1"/>
  <c r="P61" i="1" a="1"/>
  <c r="P61" i="1" s="1"/>
  <c r="N65" i="1" a="1"/>
  <c r="N65" i="1" s="1"/>
  <c r="M63" i="1" a="1"/>
  <c r="M63" i="1" s="1"/>
  <c r="L61" i="1" a="1"/>
  <c r="L61" i="1" s="1"/>
  <c r="J65" i="1" a="1"/>
  <c r="J65" i="1" s="1"/>
  <c r="I63" i="1" a="1"/>
  <c r="I63" i="1" s="1"/>
  <c r="H61" i="1" a="1"/>
  <c r="H61" i="1" s="1"/>
  <c r="F65" i="1" a="1"/>
  <c r="F65" i="1" s="1"/>
  <c r="Q66" i="1" a="1"/>
  <c r="Q66" i="1" s="1"/>
  <c r="I66" i="1" a="1"/>
  <c r="I66" i="1" s="1"/>
  <c r="Q65" i="1" a="1"/>
  <c r="Q65" i="1" s="1"/>
  <c r="K61" i="1" a="1"/>
  <c r="K61" i="1" s="1"/>
  <c r="W66" i="1" a="1"/>
  <c r="W66" i="1" s="1"/>
  <c r="V64" i="1" a="1"/>
  <c r="V64" i="1" s="1"/>
  <c r="U62" i="1" a="1"/>
  <c r="U62" i="1" s="1"/>
  <c r="S66" i="1" a="1"/>
  <c r="S66" i="1" s="1"/>
  <c r="R64" i="1" a="1"/>
  <c r="R64" i="1" s="1"/>
  <c r="Q62" i="1" a="1"/>
  <c r="Q62" i="1" s="1"/>
  <c r="O66" i="1" a="1"/>
  <c r="O66" i="1" s="1"/>
  <c r="N64" i="1" a="1"/>
  <c r="N64" i="1" s="1"/>
  <c r="M62" i="1" a="1"/>
  <c r="M62" i="1" s="1"/>
  <c r="K66" i="1" a="1"/>
  <c r="K66" i="1" s="1"/>
  <c r="J64" i="1" a="1"/>
  <c r="J64" i="1" s="1"/>
  <c r="I62" i="1" a="1"/>
  <c r="I62" i="1" s="1"/>
  <c r="G66" i="1" a="1"/>
  <c r="G66" i="1" s="1"/>
  <c r="F64" i="1" a="1"/>
  <c r="F64" i="1" s="1"/>
  <c r="S62" i="1" a="1"/>
  <c r="S62" i="1" s="1"/>
  <c r="M66" i="1" a="1"/>
  <c r="M66" i="1" s="1"/>
  <c r="W61" i="1" a="1"/>
  <c r="W61" i="1" s="1"/>
  <c r="O61" i="1" a="1"/>
  <c r="O61" i="1" s="1"/>
  <c r="W65" i="1" a="1"/>
  <c r="W65" i="1" s="1"/>
  <c r="V63" i="1" a="1"/>
  <c r="V63" i="1" s="1"/>
  <c r="U61" i="1" a="1"/>
  <c r="U61" i="1" s="1"/>
  <c r="S65" i="1" a="1"/>
  <c r="S65" i="1" s="1"/>
  <c r="R63" i="1" a="1"/>
  <c r="R63" i="1" s="1"/>
  <c r="Q61" i="1" a="1"/>
  <c r="Q61" i="1" s="1"/>
  <c r="O65" i="1" a="1"/>
  <c r="O65" i="1" s="1"/>
  <c r="N63" i="1" a="1"/>
  <c r="N63" i="1" s="1"/>
  <c r="M61" i="1" a="1"/>
  <c r="M61" i="1" s="1"/>
  <c r="K65" i="1" a="1"/>
  <c r="K65" i="1" s="1"/>
  <c r="J63" i="1" a="1"/>
  <c r="J63" i="1" s="1"/>
  <c r="I61" i="1" a="1"/>
  <c r="I61" i="1" s="1"/>
  <c r="G65" i="1" a="1"/>
  <c r="G65" i="1" s="1"/>
  <c r="F63" i="1" a="1"/>
  <c r="F63" i="1" s="1"/>
  <c r="F61" i="1" a="1"/>
  <c r="F61" i="1" s="1"/>
  <c r="U66" i="1" a="1"/>
  <c r="U66" i="1" s="1"/>
  <c r="L64" i="1" a="1"/>
  <c r="L64" i="1" s="1"/>
  <c r="T63" i="1" a="1"/>
  <c r="T63" i="1" s="1"/>
  <c r="I65" i="1" a="1"/>
  <c r="I65" i="1" s="1"/>
  <c r="W64" i="1" a="1"/>
  <c r="W64" i="1" s="1"/>
  <c r="V62" i="1" a="1"/>
  <c r="V62" i="1" s="1"/>
  <c r="T66" i="1" a="1"/>
  <c r="T66" i="1" s="1"/>
  <c r="S64" i="1" a="1"/>
  <c r="S64" i="1" s="1"/>
  <c r="R62" i="1" a="1"/>
  <c r="R62" i="1" s="1"/>
  <c r="P66" i="1" a="1"/>
  <c r="P66" i="1" s="1"/>
  <c r="O64" i="1" a="1"/>
  <c r="O64" i="1" s="1"/>
  <c r="N62" i="1" a="1"/>
  <c r="N62" i="1" s="1"/>
  <c r="L66" i="1" a="1"/>
  <c r="L66" i="1" s="1"/>
  <c r="K64" i="1" a="1"/>
  <c r="K64" i="1" s="1"/>
  <c r="J62" i="1" a="1"/>
  <c r="J62" i="1" s="1"/>
  <c r="H66" i="1" a="1"/>
  <c r="H66" i="1" s="1"/>
  <c r="G64" i="1" a="1"/>
  <c r="G64" i="1" s="1"/>
  <c r="F62" i="1" a="1"/>
  <c r="F62" i="1" s="1"/>
  <c r="W62" i="1" a="1"/>
  <c r="W62" i="1" s="1"/>
  <c r="K62" i="1" a="1"/>
  <c r="K62" i="1" s="1"/>
  <c r="U65" i="1" a="1"/>
  <c r="U65" i="1" s="1"/>
  <c r="M65" i="1" a="1"/>
  <c r="M65" i="1" s="1"/>
  <c r="G61" i="1" a="1"/>
  <c r="G61" i="1" s="1"/>
  <c r="W63" i="1" a="1"/>
  <c r="W63" i="1" s="1"/>
  <c r="V61" i="1" a="1"/>
  <c r="V61" i="1" s="1"/>
  <c r="T65" i="1" a="1"/>
  <c r="T65" i="1" s="1"/>
  <c r="S63" i="1" a="1"/>
  <c r="S63" i="1" s="1"/>
  <c r="R61" i="1" a="1"/>
  <c r="R61" i="1" s="1"/>
  <c r="P65" i="1" a="1"/>
  <c r="P65" i="1" s="1"/>
  <c r="O63" i="1" a="1"/>
  <c r="O63" i="1" s="1"/>
  <c r="N61" i="1" a="1"/>
  <c r="N61" i="1" s="1"/>
  <c r="L65" i="1" a="1"/>
  <c r="L65" i="1" s="1"/>
  <c r="K63" i="1" a="1"/>
  <c r="K63" i="1" s="1"/>
  <c r="J61" i="1" a="1"/>
  <c r="J61" i="1" s="1"/>
  <c r="H65" i="1" a="1"/>
  <c r="H65" i="1" s="1"/>
  <c r="G63" i="1" a="1"/>
  <c r="G63" i="1" s="1"/>
  <c r="T64" i="1" a="1"/>
  <c r="T64" i="1" s="1"/>
  <c r="O62" i="1" a="1"/>
  <c r="O62" i="1" s="1"/>
  <c r="G62" i="1" a="1"/>
  <c r="G62" i="1" s="1"/>
  <c r="P63" i="1" a="1"/>
  <c r="P63" i="1" s="1"/>
  <c r="H63" i="1" a="1"/>
  <c r="H63" i="1" s="1"/>
  <c r="W50" i="1" a="1"/>
  <c r="W50" i="1" s="1"/>
  <c r="V48" i="1" a="1"/>
  <c r="V48" i="1" s="1"/>
  <c r="T52" i="1" a="1"/>
  <c r="T52" i="1" s="1"/>
  <c r="S50" i="1" a="1"/>
  <c r="S50" i="1" s="1"/>
  <c r="R48" i="1" a="1"/>
  <c r="R48" i="1" s="1"/>
  <c r="P52" i="1" a="1"/>
  <c r="P52" i="1" s="1"/>
  <c r="O50" i="1" a="1"/>
  <c r="O50" i="1" s="1"/>
  <c r="N48" i="1" a="1"/>
  <c r="N48" i="1" s="1"/>
  <c r="L52" i="1" a="1"/>
  <c r="L52" i="1" s="1"/>
  <c r="K50" i="1" a="1"/>
  <c r="K50" i="1" s="1"/>
  <c r="J48" i="1" a="1"/>
  <c r="J48" i="1" s="1"/>
  <c r="Q48" i="1" a="1"/>
  <c r="Q48" i="1" s="1"/>
  <c r="K52" i="1" a="1"/>
  <c r="K52" i="1" s="1"/>
  <c r="W49" i="1" a="1"/>
  <c r="W49" i="1" s="1"/>
  <c r="U53" i="1" a="1"/>
  <c r="U53" i="1" s="1"/>
  <c r="T51" i="1" a="1"/>
  <c r="T51" i="1" s="1"/>
  <c r="S49" i="1" a="1"/>
  <c r="S49" i="1" s="1"/>
  <c r="Q53" i="1" a="1"/>
  <c r="Q53" i="1" s="1"/>
  <c r="P51" i="1" a="1"/>
  <c r="P51" i="1" s="1"/>
  <c r="O49" i="1" a="1"/>
  <c r="O49" i="1" s="1"/>
  <c r="M53" i="1" a="1"/>
  <c r="M53" i="1" s="1"/>
  <c r="L51" i="1" a="1"/>
  <c r="L51" i="1" s="1"/>
  <c r="K49" i="1" a="1"/>
  <c r="K49" i="1" s="1"/>
  <c r="I53" i="1" a="1"/>
  <c r="I53" i="1" s="1"/>
  <c r="R50" i="1" a="1"/>
  <c r="R50" i="1" s="1"/>
  <c r="I48" i="1" a="1"/>
  <c r="I48" i="1" s="1"/>
  <c r="W51" i="1" a="1"/>
  <c r="W51" i="1" s="1"/>
  <c r="W48" i="1" a="1"/>
  <c r="W48" i="1" s="1"/>
  <c r="U52" i="1" a="1"/>
  <c r="U52" i="1" s="1"/>
  <c r="T50" i="1" a="1"/>
  <c r="T50" i="1" s="1"/>
  <c r="S48" i="1" a="1"/>
  <c r="S48" i="1" s="1"/>
  <c r="Q52" i="1" a="1"/>
  <c r="Q52" i="1" s="1"/>
  <c r="P50" i="1" a="1"/>
  <c r="P50" i="1" s="1"/>
  <c r="O48" i="1" a="1"/>
  <c r="O48" i="1" s="1"/>
  <c r="M52" i="1" a="1"/>
  <c r="M52" i="1" s="1"/>
  <c r="L50" i="1" a="1"/>
  <c r="L50" i="1" s="1"/>
  <c r="K48" i="1" a="1"/>
  <c r="K48" i="1" s="1"/>
  <c r="I52" i="1" a="1"/>
  <c r="I52" i="1" s="1"/>
  <c r="W52" i="1" a="1"/>
  <c r="W52" i="1" s="1"/>
  <c r="J50" i="1" a="1"/>
  <c r="J50" i="1" s="1"/>
  <c r="V49" i="1" a="1"/>
  <c r="V49" i="1" s="1"/>
  <c r="V53" i="1" a="1"/>
  <c r="V53" i="1" s="1"/>
  <c r="U51" i="1" a="1"/>
  <c r="U51" i="1" s="1"/>
  <c r="T49" i="1" a="1"/>
  <c r="T49" i="1" s="1"/>
  <c r="R53" i="1" a="1"/>
  <c r="R53" i="1" s="1"/>
  <c r="Q51" i="1" a="1"/>
  <c r="Q51" i="1" s="1"/>
  <c r="P49" i="1" a="1"/>
  <c r="P49" i="1" s="1"/>
  <c r="N53" i="1" a="1"/>
  <c r="N53" i="1" s="1"/>
  <c r="M51" i="1" a="1"/>
  <c r="M51" i="1" s="1"/>
  <c r="L49" i="1" a="1"/>
  <c r="L49" i="1" s="1"/>
  <c r="J53" i="1" a="1"/>
  <c r="J53" i="1" s="1"/>
  <c r="I51" i="1" a="1"/>
  <c r="I51" i="1" s="1"/>
  <c r="S52" i="1" a="1"/>
  <c r="S52" i="1" s="1"/>
  <c r="M48" i="1" a="1"/>
  <c r="M48" i="1" s="1"/>
  <c r="T53" i="1" a="1"/>
  <c r="T53" i="1" s="1"/>
  <c r="F48" i="1" a="1"/>
  <c r="F48" i="1" s="1"/>
  <c r="V52" i="1" a="1"/>
  <c r="V52" i="1" s="1"/>
  <c r="U50" i="1" a="1"/>
  <c r="U50" i="1" s="1"/>
  <c r="T48" i="1" a="1"/>
  <c r="T48" i="1" s="1"/>
  <c r="R52" i="1" a="1"/>
  <c r="R52" i="1" s="1"/>
  <c r="Q50" i="1" a="1"/>
  <c r="Q50" i="1" s="1"/>
  <c r="P48" i="1" a="1"/>
  <c r="P48" i="1" s="1"/>
  <c r="N52" i="1" a="1"/>
  <c r="N52" i="1" s="1"/>
  <c r="M50" i="1" a="1"/>
  <c r="M50" i="1" s="1"/>
  <c r="L48" i="1" a="1"/>
  <c r="L48" i="1" s="1"/>
  <c r="J52" i="1" a="1"/>
  <c r="J52" i="1" s="1"/>
  <c r="I50" i="1" a="1"/>
  <c r="I50" i="1" s="1"/>
  <c r="V50" i="1" a="1"/>
  <c r="V50" i="1" s="1"/>
  <c r="O52" i="1" a="1"/>
  <c r="O52" i="1" s="1"/>
  <c r="S51" i="1" a="1"/>
  <c r="S51" i="1" s="1"/>
  <c r="W53" i="1" a="1"/>
  <c r="W53" i="1" s="1"/>
  <c r="V51" i="1" a="1"/>
  <c r="V51" i="1" s="1"/>
  <c r="U49" i="1" a="1"/>
  <c r="U49" i="1" s="1"/>
  <c r="S53" i="1" a="1"/>
  <c r="S53" i="1" s="1"/>
  <c r="R51" i="1" a="1"/>
  <c r="R51" i="1" s="1"/>
  <c r="Q49" i="1" a="1"/>
  <c r="Q49" i="1" s="1"/>
  <c r="O53" i="1" a="1"/>
  <c r="O53" i="1" s="1"/>
  <c r="N51" i="1" a="1"/>
  <c r="N51" i="1" s="1"/>
  <c r="M49" i="1" a="1"/>
  <c r="M49" i="1" s="1"/>
  <c r="K53" i="1" a="1"/>
  <c r="K53" i="1" s="1"/>
  <c r="J51" i="1" a="1"/>
  <c r="J51" i="1" s="1"/>
  <c r="I49" i="1" a="1"/>
  <c r="I49" i="1" s="1"/>
  <c r="U48" i="1" a="1"/>
  <c r="U48" i="1" s="1"/>
  <c r="N50" i="1" a="1"/>
  <c r="N50" i="1" s="1"/>
  <c r="R49" i="1" a="1"/>
  <c r="R49" i="1" s="1"/>
  <c r="O51" i="1" a="1"/>
  <c r="O51" i="1" s="1"/>
  <c r="L53" i="1" a="1"/>
  <c r="L53" i="1" s="1"/>
  <c r="K51" i="1" a="1"/>
  <c r="K51" i="1" s="1"/>
  <c r="J49" i="1" a="1"/>
  <c r="J49" i="1" s="1"/>
  <c r="P53" i="1" a="1"/>
  <c r="P53" i="1" s="1"/>
  <c r="N49" i="1" a="1"/>
  <c r="N49" i="1" s="1"/>
  <c r="G53" i="1" a="1"/>
  <c r="G53" i="1" s="1"/>
  <c r="G52" i="1" a="1"/>
  <c r="G52" i="1" s="1"/>
  <c r="H53" i="1" a="1"/>
  <c r="H53" i="1" s="1"/>
  <c r="G51" i="1" a="1"/>
  <c r="G51" i="1" s="1"/>
  <c r="H52" i="1" a="1"/>
  <c r="H52" i="1" s="1"/>
  <c r="G50" i="1" a="1"/>
  <c r="G50" i="1" s="1"/>
  <c r="H51" i="1" a="1"/>
  <c r="H51" i="1" s="1"/>
  <c r="G49" i="1" a="1"/>
  <c r="G49" i="1" s="1"/>
  <c r="H50" i="1" a="1"/>
  <c r="H50" i="1" s="1"/>
  <c r="G48" i="1" a="1"/>
  <c r="G48" i="1" s="1"/>
  <c r="H49" i="1" a="1"/>
  <c r="H49" i="1" s="1"/>
  <c r="H48" i="1" a="1"/>
  <c r="H48" i="1" s="1"/>
  <c r="F57" i="1" a="1"/>
  <c r="F57" i="1" s="1"/>
  <c r="F56" i="1" a="1"/>
  <c r="F56" i="1" s="1"/>
  <c r="F55" i="1" a="1"/>
  <c r="F55" i="1" s="1"/>
  <c r="F54" i="1" a="1"/>
  <c r="F54" i="1" s="1"/>
  <c r="F59" i="1" a="1"/>
  <c r="F59" i="1" s="1"/>
  <c r="F58" i="1" a="1"/>
  <c r="F58" i="1" s="1"/>
  <c r="F49" i="1" a="1"/>
  <c r="F49" i="1" s="1"/>
  <c r="F53" i="1" a="1"/>
  <c r="F53" i="1" s="1"/>
  <c r="F52" i="1" a="1"/>
  <c r="F52" i="1" s="1"/>
  <c r="F51" i="1" a="1"/>
  <c r="F51" i="1" s="1"/>
  <c r="F50" i="1" a="1"/>
  <c r="F50" i="1" s="1"/>
  <c r="Z39" i="1" l="1"/>
  <c r="X39" i="1"/>
  <c r="Y40" i="1" s="1"/>
  <c r="Z41" i="1" s="1"/>
  <c r="H15" i="1"/>
  <c r="O9" i="4" s="1"/>
  <c r="F15" i="1"/>
  <c r="O5" i="4" s="1"/>
  <c r="J32" i="1"/>
  <c r="S32" i="1"/>
  <c r="Q39" i="1"/>
  <c r="R40" i="1" s="1"/>
  <c r="S41" i="1" s="1"/>
  <c r="H39" i="1"/>
  <c r="I40" i="1" s="1"/>
  <c r="V32" i="1"/>
  <c r="T32" i="1"/>
  <c r="Q32" i="1"/>
  <c r="Y39" i="1"/>
  <c r="Z40" i="1" s="1"/>
  <c r="G32" i="1"/>
  <c r="H33" i="1" s="1"/>
  <c r="I34" i="1" s="1"/>
  <c r="G15" i="1"/>
  <c r="P32" i="1"/>
  <c r="I39" i="1"/>
  <c r="W32" i="1"/>
  <c r="U32" i="1"/>
  <c r="I32" i="1"/>
  <c r="V39" i="1"/>
  <c r="W40" i="1" s="1"/>
  <c r="X41" i="1" s="1"/>
  <c r="Y42" i="1" s="1"/>
  <c r="Z43" i="1" s="1"/>
  <c r="N39" i="1"/>
  <c r="O40" i="1" s="1"/>
  <c r="P41" i="1" s="1"/>
  <c r="Q42" i="1" s="1"/>
  <c r="R43" i="1" s="1"/>
  <c r="S44" i="1" s="1"/>
  <c r="H32" i="1"/>
  <c r="I33" i="1" s="1"/>
  <c r="L32" i="1"/>
  <c r="M39" i="1"/>
  <c r="N40" i="1" s="1"/>
  <c r="O41" i="1" s="1"/>
  <c r="P42" i="1" s="1"/>
  <c r="Q43" i="1" s="1"/>
  <c r="R44" i="1" s="1"/>
  <c r="W39" i="1"/>
  <c r="X40" i="1" s="1"/>
  <c r="Y41" i="1" s="1"/>
  <c r="Z42" i="1" s="1"/>
  <c r="Y32" i="1"/>
  <c r="Z33" i="1" s="1"/>
  <c r="Z32" i="1"/>
  <c r="R32" i="1"/>
  <c r="T39" i="1"/>
  <c r="U40" i="1" s="1"/>
  <c r="V41" i="1" s="1"/>
  <c r="W42" i="1" s="1"/>
  <c r="X43" i="1" s="1"/>
  <c r="Y44" i="1" s="1"/>
  <c r="R39" i="1"/>
  <c r="S40" i="1" s="1"/>
  <c r="H22" i="1"/>
  <c r="K32" i="1"/>
  <c r="K39" i="1"/>
  <c r="L40" i="1" s="1"/>
  <c r="M41" i="1" s="1"/>
  <c r="N42" i="1" s="1"/>
  <c r="O43" i="1" s="1"/>
  <c r="P44" i="1" s="1"/>
  <c r="L39" i="1"/>
  <c r="M40" i="1" s="1"/>
  <c r="N41" i="1" s="1"/>
  <c r="O42" i="1" s="1"/>
  <c r="P43" i="1" s="1"/>
  <c r="Q44" i="1" s="1"/>
  <c r="J39" i="1"/>
  <c r="K40" i="1" s="1"/>
  <c r="L41" i="1" s="1"/>
  <c r="M42" i="1" s="1"/>
  <c r="N43" i="1" s="1"/>
  <c r="O44" i="1" s="1"/>
  <c r="O39" i="1"/>
  <c r="P40" i="1" s="1"/>
  <c r="Q41" i="1" s="1"/>
  <c r="R42" i="1" s="1"/>
  <c r="S43" i="1" s="1"/>
  <c r="G39" i="1"/>
  <c r="H40" i="1" s="1"/>
  <c r="I41" i="1" s="1"/>
  <c r="F22" i="1"/>
  <c r="Z5" i="4" s="1"/>
  <c r="O32" i="1"/>
  <c r="G22" i="1"/>
  <c r="Z7" i="4" s="1"/>
  <c r="P39" i="1"/>
  <c r="Q40" i="1" s="1"/>
  <c r="R41" i="1" s="1"/>
  <c r="S42" i="1" s="1"/>
  <c r="X32" i="1"/>
  <c r="Y33" i="1" s="1"/>
  <c r="Z34" i="1" s="1"/>
  <c r="M32" i="1"/>
  <c r="N32" i="1"/>
  <c r="U39" i="1"/>
  <c r="V40" i="1" s="1"/>
  <c r="W41" i="1" s="1"/>
  <c r="X42" i="1" s="1"/>
  <c r="Y43" i="1" s="1"/>
  <c r="Z44" i="1" s="1"/>
  <c r="S39" i="1"/>
  <c r="V33" i="1" l="1"/>
  <c r="U33" i="1"/>
  <c r="L33" i="1"/>
  <c r="P33" i="1"/>
  <c r="M33" i="1"/>
  <c r="Q33" i="1"/>
  <c r="S33" i="1"/>
  <c r="T34" i="1" s="1"/>
  <c r="O33" i="1"/>
  <c r="N33" i="1"/>
  <c r="R33" i="1"/>
  <c r="T33" i="1"/>
  <c r="X33" i="1"/>
  <c r="Y34" i="1" s="1"/>
  <c r="Z35" i="1" s="1"/>
  <c r="W33" i="1"/>
  <c r="J35" i="1"/>
  <c r="K33" i="1"/>
  <c r="J33" i="1"/>
  <c r="J34" i="1"/>
  <c r="J40" i="1"/>
  <c r="K41" i="1" s="1"/>
  <c r="L42" i="1" s="1"/>
  <c r="M43" i="1" s="1"/>
  <c r="N44" i="1" s="1"/>
  <c r="F32" i="1"/>
  <c r="F39" i="1"/>
  <c r="J41" i="1"/>
  <c r="K42" i="1" s="1"/>
  <c r="L43" i="1" s="1"/>
  <c r="M44" i="1" s="1"/>
  <c r="H8" i="1"/>
  <c r="D9" i="4" s="1"/>
  <c r="Z9" i="4"/>
  <c r="I15" i="1"/>
  <c r="O7" i="4"/>
  <c r="G8" i="1"/>
  <c r="D7" i="4" s="1"/>
  <c r="G16" i="1"/>
  <c r="P7" i="4" s="1"/>
  <c r="J42" i="1"/>
  <c r="T40" i="1"/>
  <c r="U41" i="1" s="1"/>
  <c r="V42" i="1" s="1"/>
  <c r="W43" i="1" s="1"/>
  <c r="X44" i="1" s="1"/>
  <c r="H23" i="1"/>
  <c r="AA9" i="4" s="1"/>
  <c r="T44" i="1"/>
  <c r="T43" i="1"/>
  <c r="U44" i="1" s="1"/>
  <c r="T42" i="1"/>
  <c r="U43" i="1" s="1"/>
  <c r="V44" i="1" s="1"/>
  <c r="T41" i="1"/>
  <c r="U42" i="1" s="1"/>
  <c r="V43" i="1" s="1"/>
  <c r="W44" i="1" s="1"/>
  <c r="H16" i="1"/>
  <c r="I22" i="1"/>
  <c r="F8" i="1"/>
  <c r="G23" i="1"/>
  <c r="AA7" i="4" s="1"/>
  <c r="P34" i="1" l="1"/>
  <c r="Q34" i="1"/>
  <c r="L34" i="1"/>
  <c r="U34" i="1"/>
  <c r="M34" i="1"/>
  <c r="S34" i="1"/>
  <c r="R34" i="1"/>
  <c r="V34" i="1"/>
  <c r="H17" i="1"/>
  <c r="Q9" i="4" s="1"/>
  <c r="X34" i="1"/>
  <c r="Y35" i="1" s="1"/>
  <c r="Z36" i="1" s="1"/>
  <c r="O34" i="1"/>
  <c r="N34" i="1"/>
  <c r="W34" i="1"/>
  <c r="K34" i="1"/>
  <c r="K35" i="1"/>
  <c r="G17" i="1"/>
  <c r="Q7" i="4" s="1"/>
  <c r="K36" i="1"/>
  <c r="F34" i="1"/>
  <c r="F40" i="1"/>
  <c r="G41" i="1" s="1"/>
  <c r="H42" i="1" s="1"/>
  <c r="I43" i="1" s="1"/>
  <c r="F41" i="1"/>
  <c r="G42" i="1" s="1"/>
  <c r="H43" i="1" s="1"/>
  <c r="I44" i="1" s="1"/>
  <c r="G24" i="1"/>
  <c r="AB7" i="4" s="1"/>
  <c r="F33" i="1"/>
  <c r="G25" i="1"/>
  <c r="AC7" i="4" s="1"/>
  <c r="K43" i="1"/>
  <c r="H28" i="1"/>
  <c r="AF9" i="4" s="1"/>
  <c r="H9" i="1"/>
  <c r="E9" i="4" s="1"/>
  <c r="P9" i="4"/>
  <c r="Z11" i="4"/>
  <c r="Z10" i="4" s="1"/>
  <c r="I8" i="1"/>
  <c r="D5" i="4"/>
  <c r="G9" i="1"/>
  <c r="E7" i="4" s="1"/>
  <c r="G33" i="1"/>
  <c r="F16" i="1"/>
  <c r="P5" i="4" s="1"/>
  <c r="H25" i="1"/>
  <c r="AC9" i="4" s="1"/>
  <c r="H24" i="1"/>
  <c r="H26" i="1"/>
  <c r="AD9" i="4" s="1"/>
  <c r="G40" i="1"/>
  <c r="H41" i="1" s="1"/>
  <c r="I42" i="1" s="1"/>
  <c r="F23" i="1"/>
  <c r="U35" i="1"/>
  <c r="H27" i="1"/>
  <c r="AE9" i="4" s="1"/>
  <c r="L37" i="1" l="1"/>
  <c r="W35" i="1"/>
  <c r="V35" i="1"/>
  <c r="X35" i="1"/>
  <c r="Y36" i="1" s="1"/>
  <c r="Z37" i="1" s="1"/>
  <c r="S35" i="1"/>
  <c r="M35" i="1"/>
  <c r="L36" i="1"/>
  <c r="P35" i="1"/>
  <c r="H18" i="1"/>
  <c r="R9" i="4" s="1"/>
  <c r="O35" i="1"/>
  <c r="T35" i="1"/>
  <c r="R35" i="1"/>
  <c r="L35" i="1"/>
  <c r="N35" i="1"/>
  <c r="Q35" i="1"/>
  <c r="G18" i="1"/>
  <c r="R7" i="4" s="1"/>
  <c r="G34" i="1"/>
  <c r="H35" i="1" s="1"/>
  <c r="I36" i="1" s="1"/>
  <c r="G35" i="1"/>
  <c r="H36" i="1" s="1"/>
  <c r="I37" i="1" s="1"/>
  <c r="G10" i="1"/>
  <c r="F7" i="4" s="1"/>
  <c r="F35" i="1"/>
  <c r="F42" i="1"/>
  <c r="L44" i="1"/>
  <c r="H10" i="1"/>
  <c r="F9" i="4" s="1"/>
  <c r="AB9" i="4"/>
  <c r="I23" i="1"/>
  <c r="AA5" i="4"/>
  <c r="AA11" i="4" s="1"/>
  <c r="Z6" i="4"/>
  <c r="Z8" i="4"/>
  <c r="P11" i="4"/>
  <c r="P6" i="4" s="1"/>
  <c r="O11" i="4"/>
  <c r="O6" i="4" s="1"/>
  <c r="D11" i="4"/>
  <c r="D6" i="4" s="1"/>
  <c r="F25" i="1"/>
  <c r="F24" i="1"/>
  <c r="J44" i="1"/>
  <c r="H34" i="1"/>
  <c r="F17" i="1"/>
  <c r="Q5" i="4" s="1"/>
  <c r="V36" i="1"/>
  <c r="J43" i="1"/>
  <c r="K44" i="1" s="1"/>
  <c r="G26" i="1"/>
  <c r="AD7" i="4" s="1"/>
  <c r="F9" i="1"/>
  <c r="I16" i="1"/>
  <c r="T36" i="1" l="1"/>
  <c r="M36" i="1"/>
  <c r="H19" i="1"/>
  <c r="S9" i="4" s="1"/>
  <c r="Q36" i="1"/>
  <c r="G11" i="1"/>
  <c r="G7" i="4" s="1"/>
  <c r="M37" i="1"/>
  <c r="W36" i="1"/>
  <c r="R36" i="1"/>
  <c r="U36" i="1"/>
  <c r="H11" i="1"/>
  <c r="G9" i="4" s="1"/>
  <c r="S36" i="1"/>
  <c r="N36" i="1"/>
  <c r="X36" i="1"/>
  <c r="Y37" i="1" s="1"/>
  <c r="O36" i="1"/>
  <c r="P36" i="1"/>
  <c r="G36" i="1"/>
  <c r="H37" i="1" s="1"/>
  <c r="J37" i="1"/>
  <c r="F44" i="1"/>
  <c r="F43" i="1"/>
  <c r="F36" i="1"/>
  <c r="F37" i="1"/>
  <c r="G28" i="1"/>
  <c r="AF7" i="4" s="1"/>
  <c r="Z12" i="4"/>
  <c r="I24" i="1"/>
  <c r="AB5" i="4"/>
  <c r="I25" i="1"/>
  <c r="AC5" i="4"/>
  <c r="AC11" i="4" s="1"/>
  <c r="AA6" i="4"/>
  <c r="AA10" i="4"/>
  <c r="AA8" i="4"/>
  <c r="P10" i="4"/>
  <c r="P8" i="4"/>
  <c r="O10" i="4"/>
  <c r="O8" i="4"/>
  <c r="F19" i="1"/>
  <c r="S5" i="4" s="1"/>
  <c r="D10" i="4"/>
  <c r="D8" i="4"/>
  <c r="Q11" i="4"/>
  <c r="Q6" i="4" s="1"/>
  <c r="I9" i="1"/>
  <c r="E5" i="4"/>
  <c r="G27" i="1"/>
  <c r="AE7" i="4" s="1"/>
  <c r="I35" i="1"/>
  <c r="F18" i="1"/>
  <c r="R5" i="4" s="1"/>
  <c r="G43" i="1"/>
  <c r="H44" i="1" s="1"/>
  <c r="F26" i="1"/>
  <c r="W37" i="1"/>
  <c r="F10" i="1"/>
  <c r="I17" i="1"/>
  <c r="H12" i="1" l="1"/>
  <c r="H9" i="4" s="1"/>
  <c r="S37" i="1"/>
  <c r="R37" i="1"/>
  <c r="V37" i="1"/>
  <c r="O37" i="1"/>
  <c r="Q37" i="1"/>
  <c r="T37" i="1"/>
  <c r="X37" i="1"/>
  <c r="N37" i="1"/>
  <c r="H20" i="1"/>
  <c r="T9" i="4" s="1"/>
  <c r="P37" i="1"/>
  <c r="U37" i="1"/>
  <c r="G37" i="1"/>
  <c r="F21" i="1" s="1"/>
  <c r="D12" i="4"/>
  <c r="P12" i="4"/>
  <c r="AA12" i="4"/>
  <c r="AC6" i="4"/>
  <c r="AC8" i="4"/>
  <c r="AC10" i="4"/>
  <c r="I26" i="1"/>
  <c r="AD5" i="4"/>
  <c r="AB11" i="4"/>
  <c r="AB6" i="4" s="1"/>
  <c r="F12" i="1"/>
  <c r="H5" i="4" s="1"/>
  <c r="O12" i="4"/>
  <c r="R11" i="4"/>
  <c r="R6" i="4" s="1"/>
  <c r="I10" i="1"/>
  <c r="F5" i="4"/>
  <c r="Q10" i="4"/>
  <c r="Q8" i="4"/>
  <c r="E11" i="4"/>
  <c r="E6" i="4" s="1"/>
  <c r="F20" i="1"/>
  <c r="T5" i="4" s="1"/>
  <c r="J36" i="1"/>
  <c r="G19" i="1"/>
  <c r="S7" i="4" s="1"/>
  <c r="S11" i="4" s="1"/>
  <c r="S6" i="4" s="1"/>
  <c r="G44" i="1"/>
  <c r="F28" i="1" s="1"/>
  <c r="F27" i="1"/>
  <c r="F11" i="1"/>
  <c r="I18" i="1"/>
  <c r="H13" i="1" l="1"/>
  <c r="I9" i="4" s="1"/>
  <c r="H21" i="1"/>
  <c r="AF5" i="4"/>
  <c r="I28" i="1"/>
  <c r="AC12" i="4"/>
  <c r="U5" i="4"/>
  <c r="F14" i="1"/>
  <c r="I27" i="1"/>
  <c r="AE5" i="4"/>
  <c r="AB8" i="4"/>
  <c r="AB10" i="4"/>
  <c r="AD11" i="4"/>
  <c r="AD6" i="4" s="1"/>
  <c r="Q12" i="4"/>
  <c r="S8" i="4"/>
  <c r="S10" i="4"/>
  <c r="I11" i="1"/>
  <c r="G5" i="4"/>
  <c r="F11" i="4"/>
  <c r="F6" i="4" s="1"/>
  <c r="R8" i="4"/>
  <c r="R10" i="4"/>
  <c r="E10" i="4"/>
  <c r="E8" i="4"/>
  <c r="K37" i="1"/>
  <c r="G20" i="1"/>
  <c r="T7" i="4" s="1"/>
  <c r="T11" i="4" s="1"/>
  <c r="T6" i="4" s="1"/>
  <c r="F13" i="1"/>
  <c r="I5" i="4" s="1"/>
  <c r="G12" i="1"/>
  <c r="H7" i="4" s="1"/>
  <c r="I19" i="1"/>
  <c r="G21" i="1" l="1"/>
  <c r="U7" i="4" s="1"/>
  <c r="U9" i="4"/>
  <c r="H14" i="1"/>
  <c r="J9" i="4" s="1"/>
  <c r="AB12" i="4"/>
  <c r="J5" i="4"/>
  <c r="H11" i="4"/>
  <c r="AD10" i="4"/>
  <c r="AD8" i="4"/>
  <c r="AE11" i="4"/>
  <c r="AE6" i="4" s="1"/>
  <c r="AF11" i="4"/>
  <c r="AF6" i="4" s="1"/>
  <c r="E12" i="4"/>
  <c r="R12" i="4"/>
  <c r="S12" i="4"/>
  <c r="G11" i="4"/>
  <c r="G6" i="4" s="1"/>
  <c r="I12" i="1"/>
  <c r="T8" i="4"/>
  <c r="T10" i="4"/>
  <c r="F8" i="4"/>
  <c r="F10" i="4"/>
  <c r="G13" i="1"/>
  <c r="I7" i="4" s="1"/>
  <c r="I20" i="1"/>
  <c r="U11" i="4" l="1"/>
  <c r="U6" i="4" s="1"/>
  <c r="I21" i="1"/>
  <c r="G14" i="1"/>
  <c r="J7" i="4" s="1"/>
  <c r="AD12" i="4"/>
  <c r="AE10" i="4"/>
  <c r="AE8" i="4"/>
  <c r="H10" i="4"/>
  <c r="H6" i="4"/>
  <c r="AF8" i="4"/>
  <c r="AF10" i="4"/>
  <c r="H8" i="4"/>
  <c r="F12" i="4"/>
  <c r="T12" i="4"/>
  <c r="I13" i="1"/>
  <c r="I11" i="4"/>
  <c r="G8" i="4"/>
  <c r="G10" i="4"/>
  <c r="U10" i="4" l="1"/>
  <c r="U8" i="4"/>
  <c r="I14" i="1"/>
  <c r="AE12" i="4"/>
  <c r="AF12" i="4"/>
  <c r="H12" i="4"/>
  <c r="G12" i="4"/>
  <c r="I10" i="4"/>
  <c r="I6" i="4"/>
  <c r="I8" i="4"/>
  <c r="J11" i="4"/>
  <c r="U12" i="4" l="1"/>
  <c r="J10" i="4"/>
  <c r="J6" i="4"/>
  <c r="J8" i="4"/>
  <c r="I12" i="4"/>
  <c r="J12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<sst xmlns="http://schemas.openxmlformats.org/spreadsheetml/2006/main" count="998" uniqueCount="437">
  <si>
    <t>※大項目</t>
  </si>
  <si>
    <t>地域コード</t>
  </si>
  <si>
    <t>地域識別コード</t>
  </si>
  <si>
    <t>地域</t>
    <rPh sb="0" eb="2">
      <t>チイキ</t>
    </rPh>
    <phoneticPr fontId="2"/>
  </si>
  <si>
    <t>0～4歳</t>
  </si>
  <si>
    <t>5～9歳</t>
  </si>
  <si>
    <t>10～14歳</t>
  </si>
  <si>
    <t>15～19歳</t>
  </si>
  <si>
    <t>20～24歳</t>
  </si>
  <si>
    <t>25～29歳</t>
  </si>
  <si>
    <t>30～34歳</t>
  </si>
  <si>
    <t>35～39歳</t>
  </si>
  <si>
    <t>40～44歳</t>
  </si>
  <si>
    <t>45～49歳</t>
  </si>
  <si>
    <t>50～54歳</t>
  </si>
  <si>
    <t>55～59歳</t>
  </si>
  <si>
    <t>60～64歳</t>
  </si>
  <si>
    <t>65～69歳</t>
  </si>
  <si>
    <t>70～74歳</t>
  </si>
  <si>
    <t>75～79歳</t>
  </si>
  <si>
    <t>80～84歳</t>
  </si>
  <si>
    <t>85～89歳</t>
  </si>
  <si>
    <t>90～94歳</t>
  </si>
  <si>
    <t>95～99歳</t>
  </si>
  <si>
    <t>100歳以上</t>
  </si>
  <si>
    <t>年齢「不詳」</t>
  </si>
  <si>
    <t>新潟県</t>
  </si>
  <si>
    <t>新潟市</t>
  </si>
  <si>
    <t>　　(旧 201 新潟市)</t>
  </si>
  <si>
    <t>　　(旧 207 新津市)</t>
  </si>
  <si>
    <t>　　(旧 220 白根市)</t>
  </si>
  <si>
    <t>　　(旧 221 豊栄市)</t>
  </si>
  <si>
    <t>　　(旧 321 小須戸町)</t>
  </si>
  <si>
    <t>　　(旧 323 横越町)</t>
  </si>
  <si>
    <t>　　(旧 324 亀田町)</t>
  </si>
  <si>
    <t>　　(旧 341 岩室村)</t>
  </si>
  <si>
    <t>　　(旧 345 巻町)</t>
  </si>
  <si>
    <t>　　(旧 346 西川町)</t>
  </si>
  <si>
    <t>　　(旧 347 黒埼町)</t>
  </si>
  <si>
    <t>　　(旧 348 味方村)</t>
  </si>
  <si>
    <t>　　(旧 349 潟東村)</t>
  </si>
  <si>
    <t>　　(旧 350 月潟村)</t>
  </si>
  <si>
    <t>　　(旧 351 中之口村)</t>
  </si>
  <si>
    <t>新潟市 北区</t>
  </si>
  <si>
    <t>新潟市 東区</t>
  </si>
  <si>
    <t>新潟市 中央区</t>
  </si>
  <si>
    <t>新潟市 江南区</t>
  </si>
  <si>
    <t>新潟市 秋葉区</t>
  </si>
  <si>
    <t>新潟市 南区</t>
  </si>
  <si>
    <t>新潟市 西区</t>
  </si>
  <si>
    <t>新潟市 西蒲区</t>
  </si>
  <si>
    <t>長岡市</t>
  </si>
  <si>
    <t>　　(旧 202 長岡市)</t>
  </si>
  <si>
    <t>　　(旧 215 栃尾市)</t>
  </si>
  <si>
    <t>　　(旧 364 中之島町)</t>
  </si>
  <si>
    <t>　　(旧 401 越路町)</t>
  </si>
  <si>
    <t>　　(旧 402 三島町)</t>
  </si>
  <si>
    <t>　　(旧 403 与板町)</t>
  </si>
  <si>
    <t>　　(旧 404 和島村)</t>
  </si>
  <si>
    <t>　　(旧 406 寺泊町)</t>
  </si>
  <si>
    <t>　　(旧 421 山古志村)</t>
  </si>
  <si>
    <t>　　(旧 441 川口町)</t>
  </si>
  <si>
    <t>　　(旧 502 小国町)</t>
  </si>
  <si>
    <t>三条市</t>
  </si>
  <si>
    <t>　　(旧 204 三条市)</t>
  </si>
  <si>
    <t>　　(旧 362 下田村)</t>
  </si>
  <si>
    <t>　　(旧 363 栄町)</t>
  </si>
  <si>
    <t>柏崎市</t>
  </si>
  <si>
    <t>　　(旧 205 柏崎市)</t>
  </si>
  <si>
    <t>　　(旧 501 高柳町)</t>
  </si>
  <si>
    <t>　　(旧 505 西山町)</t>
  </si>
  <si>
    <t>新発田市</t>
  </si>
  <si>
    <t>　　(旧 206 新発田市)</t>
  </si>
  <si>
    <t>　　(旧 306 豊浦町)</t>
  </si>
  <si>
    <t>　　(旧 308 加治川村)</t>
  </si>
  <si>
    <t>　　(旧 309 紫雲寺町)</t>
  </si>
  <si>
    <t>小千谷市</t>
  </si>
  <si>
    <t>加茂市</t>
  </si>
  <si>
    <t>十日町市</t>
  </si>
  <si>
    <t>　　(旧 210 十日町市)</t>
  </si>
  <si>
    <t>　　(旧 481 川西町)</t>
  </si>
  <si>
    <t>　　(旧 483 中里村)</t>
  </si>
  <si>
    <t>　　(旧 523 松代町)</t>
  </si>
  <si>
    <t>　　(旧 524 松之山町)</t>
  </si>
  <si>
    <t>見附市</t>
  </si>
  <si>
    <t>村上市</t>
  </si>
  <si>
    <t>　　(旧 212 村上市)</t>
  </si>
  <si>
    <t>　　(旧 582 荒川町)</t>
  </si>
  <si>
    <t>　　(旧 583 神林村)</t>
  </si>
  <si>
    <t>　　(旧 584 朝日村)</t>
  </si>
  <si>
    <t>　　(旧 585 山北町)</t>
  </si>
  <si>
    <t>燕市</t>
  </si>
  <si>
    <t>　　(旧 213 燕市)</t>
  </si>
  <si>
    <t>　　(旧 343 分水町)</t>
  </si>
  <si>
    <t>　　(旧 344 吉田町)</t>
  </si>
  <si>
    <t>糸魚川市</t>
  </si>
  <si>
    <t>　　(旧 216 糸魚川市)</t>
  </si>
  <si>
    <t>　　(旧 562 能生町)</t>
  </si>
  <si>
    <t>　　(旧 563 青海町)</t>
  </si>
  <si>
    <t>妙高市</t>
  </si>
  <si>
    <t>　　(旧 217 新井市)</t>
  </si>
  <si>
    <t>　　(旧 545 妙高高原町)</t>
  </si>
  <si>
    <t>　　(旧 547 妙高村)</t>
  </si>
  <si>
    <t>五泉市</t>
  </si>
  <si>
    <t>　　(旧 218 五泉市)</t>
  </si>
  <si>
    <t>　　(旧 322 村松町)</t>
  </si>
  <si>
    <t>上越市</t>
  </si>
  <si>
    <t>　　(旧 222 上越市)</t>
  </si>
  <si>
    <t>　　(旧 521 安塚町)</t>
  </si>
  <si>
    <t>　　(旧 522 浦川原村)</t>
  </si>
  <si>
    <t>　　(旧 525 大島村)</t>
  </si>
  <si>
    <t>　　(旧 526 牧村)</t>
  </si>
  <si>
    <t>　　(旧 541 柿崎町)</t>
  </si>
  <si>
    <t>　　(旧 542 大潟町)</t>
  </si>
  <si>
    <t>　　(旧 543 頸城村)</t>
  </si>
  <si>
    <t>　　(旧 544 吉川町)</t>
  </si>
  <si>
    <t>　　(旧 546 中郷村)</t>
  </si>
  <si>
    <t>　　(旧 548 板倉町)</t>
  </si>
  <si>
    <t>　　(旧 549 清里村)</t>
  </si>
  <si>
    <t>　　(旧 550 三和村)</t>
  </si>
  <si>
    <t>　　(旧 561 名立町)</t>
  </si>
  <si>
    <t>阿賀野市</t>
  </si>
  <si>
    <t>　　(旧 301 安田町)</t>
  </si>
  <si>
    <t>　　(旧 302 京ケ瀬村)</t>
  </si>
  <si>
    <t>　　(旧 303 水原町)</t>
  </si>
  <si>
    <t>　　(旧 304 笹神村)</t>
  </si>
  <si>
    <t>佐渡市</t>
  </si>
  <si>
    <t>　　(旧 219 両津市)</t>
  </si>
  <si>
    <t>　　(旧 601 相川町)</t>
  </si>
  <si>
    <t>　　(旧 602 佐和田町)</t>
  </si>
  <si>
    <t>　　(旧 603 金井町)</t>
  </si>
  <si>
    <t>　　(旧 604 新穂村)</t>
  </si>
  <si>
    <t>　　(旧 605 畑野町)</t>
  </si>
  <si>
    <t>　　(旧 606 真野町)</t>
  </si>
  <si>
    <t>　　(旧 607 小木町)</t>
  </si>
  <si>
    <t>　　(旧 608 羽茂町)</t>
  </si>
  <si>
    <t>　　(旧 609 赤泊村)</t>
  </si>
  <si>
    <t>魚沼市</t>
  </si>
  <si>
    <t>　　(旧 442 堀之内町)</t>
  </si>
  <si>
    <t>　　(旧 443 小出町)</t>
  </si>
  <si>
    <t>　　(旧 444 湯之谷村)</t>
  </si>
  <si>
    <t>　　(旧 445 広神村)</t>
  </si>
  <si>
    <t>　　(旧 446 守門村)</t>
  </si>
  <si>
    <t>　　(旧 447 入広瀬村)</t>
  </si>
  <si>
    <t>南魚沼市</t>
  </si>
  <si>
    <t>　　(旧 462 塩沢町)</t>
  </si>
  <si>
    <t>　　(旧 463 六日町)</t>
  </si>
  <si>
    <t>　　(旧 464 大和町)</t>
  </si>
  <si>
    <t>胎内市</t>
  </si>
  <si>
    <t>　　(旧 310 中条町)</t>
  </si>
  <si>
    <t>　　(旧 311 黒川村)</t>
  </si>
  <si>
    <t>北蒲原郡</t>
  </si>
  <si>
    <t>聖籠町</t>
  </si>
  <si>
    <t>西蒲原郡</t>
  </si>
  <si>
    <t>弥彦村</t>
  </si>
  <si>
    <t>南蒲原郡</t>
  </si>
  <si>
    <t>田上町</t>
  </si>
  <si>
    <t>東蒲原郡</t>
  </si>
  <si>
    <t>阿賀町</t>
  </si>
  <si>
    <t>　　(旧 381 津川町)</t>
  </si>
  <si>
    <t>　　(旧 382 鹿瀬町)</t>
  </si>
  <si>
    <t>　　(旧 383 上川村)</t>
  </si>
  <si>
    <t>　　(旧 384 三川村)</t>
  </si>
  <si>
    <t>三島郡</t>
  </si>
  <si>
    <t>出雲崎町</t>
  </si>
  <si>
    <t>南魚沼郡</t>
  </si>
  <si>
    <t>湯沢町</t>
  </si>
  <si>
    <t>中魚沼郡</t>
  </si>
  <si>
    <t>津南町</t>
  </si>
  <si>
    <t>刈羽郡</t>
  </si>
  <si>
    <t>刈羽村</t>
  </si>
  <si>
    <t>岩船郡</t>
  </si>
  <si>
    <t>関川村</t>
  </si>
  <si>
    <t>粟島浦村</t>
  </si>
  <si>
    <t>新潟県　人口集中地区</t>
  </si>
  <si>
    <t>新潟市　人口集中地区</t>
  </si>
  <si>
    <t>新潟市 北区　人口集中地区</t>
  </si>
  <si>
    <t>新潟市 東区　人口集中地区</t>
  </si>
  <si>
    <t>新潟市 中央区　人口集中地区</t>
  </si>
  <si>
    <t>新潟市 江南区　人口集中地区</t>
  </si>
  <si>
    <t>新潟市 秋葉区　人口集中地区</t>
  </si>
  <si>
    <t>新潟市 南区　人口集中地区</t>
  </si>
  <si>
    <t>新潟市 西区　人口集中地区</t>
  </si>
  <si>
    <t>新潟市 西蒲区　人口集中地区</t>
  </si>
  <si>
    <t>長岡市　人口集中地区</t>
  </si>
  <si>
    <t>三条市　人口集中地区</t>
  </si>
  <si>
    <t>柏崎市　人口集中地区</t>
  </si>
  <si>
    <t>新発田市　人口集中地区</t>
  </si>
  <si>
    <t>小千谷市　人口集中地区</t>
  </si>
  <si>
    <t>加茂市　人口集中地区</t>
  </si>
  <si>
    <t>十日町市　人口集中地区</t>
  </si>
  <si>
    <t>見附市　人口集中地区</t>
  </si>
  <si>
    <t>村上市　人口集中地区</t>
  </si>
  <si>
    <t>燕市　人口集中地区</t>
  </si>
  <si>
    <t>糸魚川市　人口集中地区</t>
  </si>
  <si>
    <t>妙高市　人口集中地区</t>
  </si>
  <si>
    <t>五泉市　人口集中地区</t>
  </si>
  <si>
    <t>上越市　人口集中地区</t>
  </si>
  <si>
    <t>阿賀野市　人口集中地区</t>
  </si>
  <si>
    <t>南魚沼市　人口集中地区</t>
  </si>
  <si>
    <t>平成27年国勢調査人口等基本集計</t>
    <phoneticPr fontId="2"/>
  </si>
  <si>
    <t>【平成27年国勢調査人口等基本集計】</t>
    <phoneticPr fontId="2"/>
  </si>
  <si>
    <t>男･総数</t>
    <rPh sb="0" eb="1">
      <t>オトコ</t>
    </rPh>
    <rPh sb="2" eb="4">
      <t>ソウスウ</t>
    </rPh>
    <phoneticPr fontId="2"/>
  </si>
  <si>
    <t>女･総数</t>
    <rPh sb="0" eb="1">
      <t>オンナ</t>
    </rPh>
    <rPh sb="2" eb="4">
      <t>ソウスウ</t>
    </rPh>
    <phoneticPr fontId="2"/>
  </si>
  <si>
    <t>平成27年</t>
    <rPh sb="0" eb="2">
      <t>ヘイセイ</t>
    </rPh>
    <rPh sb="4" eb="5">
      <t>ネン</t>
    </rPh>
    <phoneticPr fontId="2"/>
  </si>
  <si>
    <t>令和2年</t>
    <rPh sb="0" eb="2">
      <t>レイワ</t>
    </rPh>
    <rPh sb="3" eb="4">
      <t>ネン</t>
    </rPh>
    <phoneticPr fontId="2"/>
  </si>
  <si>
    <t>令和7年</t>
    <rPh sb="0" eb="2">
      <t>レイワ</t>
    </rPh>
    <rPh sb="3" eb="4">
      <t>ネン</t>
    </rPh>
    <phoneticPr fontId="2"/>
  </si>
  <si>
    <t>令和12年</t>
    <rPh sb="0" eb="2">
      <t>レイワ</t>
    </rPh>
    <rPh sb="4" eb="5">
      <t>ネン</t>
    </rPh>
    <phoneticPr fontId="2"/>
  </si>
  <si>
    <t>令和17年</t>
    <rPh sb="0" eb="2">
      <t>レイワ</t>
    </rPh>
    <rPh sb="4" eb="5">
      <t>ネン</t>
    </rPh>
    <phoneticPr fontId="2"/>
  </si>
  <si>
    <t>令和22年</t>
    <rPh sb="0" eb="2">
      <t>レイワ</t>
    </rPh>
    <rPh sb="4" eb="5">
      <t>ネン</t>
    </rPh>
    <phoneticPr fontId="2"/>
  </si>
  <si>
    <t>三条市</t>
    <phoneticPr fontId="2"/>
  </si>
  <si>
    <t>柏崎市</t>
    <phoneticPr fontId="2"/>
  </si>
  <si>
    <t>新発田市</t>
    <phoneticPr fontId="2"/>
  </si>
  <si>
    <t>小千谷市</t>
    <phoneticPr fontId="2"/>
  </si>
  <si>
    <t>加茂市</t>
    <phoneticPr fontId="2"/>
  </si>
  <si>
    <t>十日町市</t>
    <phoneticPr fontId="2"/>
  </si>
  <si>
    <t>見附市</t>
    <phoneticPr fontId="2"/>
  </si>
  <si>
    <t>村上市</t>
    <phoneticPr fontId="2"/>
  </si>
  <si>
    <t>燕市</t>
    <phoneticPr fontId="2"/>
  </si>
  <si>
    <t>糸魚川市</t>
    <phoneticPr fontId="2"/>
  </si>
  <si>
    <t>妙高市</t>
    <phoneticPr fontId="2"/>
  </si>
  <si>
    <t>五泉市</t>
    <phoneticPr fontId="2"/>
  </si>
  <si>
    <t>上越市</t>
    <phoneticPr fontId="2"/>
  </si>
  <si>
    <t>阿賀野市</t>
    <phoneticPr fontId="2"/>
  </si>
  <si>
    <t>南魚沼市</t>
    <phoneticPr fontId="2"/>
  </si>
  <si>
    <t>生残率</t>
  </si>
  <si>
    <t>生残率</t>
    <phoneticPr fontId="2"/>
  </si>
  <si>
    <t>男女･総数</t>
    <rPh sb="0" eb="2">
      <t>ダンジョ</t>
    </rPh>
    <rPh sb="3" eb="5">
      <t>ソウスウ</t>
    </rPh>
    <phoneticPr fontId="2"/>
  </si>
  <si>
    <t>年少人口</t>
    <rPh sb="0" eb="2">
      <t>ネンショウ</t>
    </rPh>
    <rPh sb="2" eb="4">
      <t>ジンコウ</t>
    </rPh>
    <phoneticPr fontId="2"/>
  </si>
  <si>
    <t>生産年齢人口</t>
    <rPh sb="0" eb="2">
      <t>セイサン</t>
    </rPh>
    <rPh sb="2" eb="4">
      <t>ネンレイ</t>
    </rPh>
    <rPh sb="4" eb="6">
      <t>ジンコウ</t>
    </rPh>
    <phoneticPr fontId="2"/>
  </si>
  <si>
    <t>老年人口</t>
    <rPh sb="0" eb="2">
      <t>ロウネン</t>
    </rPh>
    <rPh sb="2" eb="4">
      <t>ジンコウ</t>
    </rPh>
    <phoneticPr fontId="2"/>
  </si>
  <si>
    <t>合計</t>
    <rPh sb="0" eb="2">
      <t>ゴウケイ</t>
    </rPh>
    <phoneticPr fontId="2"/>
  </si>
  <si>
    <t>2015→2020</t>
  </si>
  <si>
    <t>2020→2025</t>
  </si>
  <si>
    <t>2025→2030</t>
  </si>
  <si>
    <t>2030→2035</t>
  </si>
  <si>
    <t>2035→2040</t>
  </si>
  <si>
    <t>2040→2045</t>
  </si>
  <si>
    <t>0～4歳→5～9歳</t>
  </si>
  <si>
    <t>5～9歳→10～14歳</t>
  </si>
  <si>
    <t>10～14歳→15～19歳</t>
  </si>
  <si>
    <t>15～19歳→20～24歳</t>
  </si>
  <si>
    <t>20～24歳→25～29歳</t>
  </si>
  <si>
    <t>25～29歳→30～34歳</t>
  </si>
  <si>
    <t>30～34歳→35～39歳</t>
  </si>
  <si>
    <t>35～39歳→40～44歳</t>
  </si>
  <si>
    <t>40～44歳→45～49歳</t>
  </si>
  <si>
    <t>45～49歳→50～54歳</t>
  </si>
  <si>
    <t>50～54歳→55～59歳</t>
  </si>
  <si>
    <t>55～59歳→60～64歳</t>
  </si>
  <si>
    <t>60～64歳→65～69歳</t>
  </si>
  <si>
    <t>65～69歳→70～74歳</t>
  </si>
  <si>
    <t>70～74歳→75～79歳</t>
  </si>
  <si>
    <t>75～79歳→80～84歳</t>
  </si>
  <si>
    <t>80～84歳→85～89歳</t>
  </si>
  <si>
    <t>85歳以上→90歳以上</t>
  </si>
  <si>
    <t>男</t>
    <rPh sb="0" eb="1">
      <t>オトコ</t>
    </rPh>
    <phoneticPr fontId="2"/>
  </si>
  <si>
    <t>女</t>
    <rPh sb="0" eb="1">
      <t>オンナ</t>
    </rPh>
    <phoneticPr fontId="2"/>
  </si>
  <si>
    <t>令和27年</t>
    <rPh sb="0" eb="2">
      <t>レイワ</t>
    </rPh>
    <rPh sb="4" eb="5">
      <t>ネン</t>
    </rPh>
    <phoneticPr fontId="2"/>
  </si>
  <si>
    <t>不詳除総人口</t>
    <rPh sb="2" eb="3">
      <t>ノゾ</t>
    </rPh>
    <rPh sb="3" eb="6">
      <t>ソウジンコウ</t>
    </rPh>
    <phoneticPr fontId="2"/>
  </si>
  <si>
    <t>移動率</t>
    <phoneticPr fontId="2"/>
  </si>
  <si>
    <t>子ども女性比</t>
  </si>
  <si>
    <t>0～4歳性比</t>
  </si>
  <si>
    <t>コーホート変化率法による推計人口の計算</t>
    <phoneticPr fontId="2"/>
  </si>
  <si>
    <t>平成27年</t>
    <phoneticPr fontId="2"/>
  </si>
  <si>
    <t>令和2年</t>
    <phoneticPr fontId="2"/>
  </si>
  <si>
    <t>令和7年</t>
    <phoneticPr fontId="2"/>
  </si>
  <si>
    <t>令和12年</t>
    <phoneticPr fontId="2"/>
  </si>
  <si>
    <t>令和17年</t>
    <phoneticPr fontId="2"/>
  </si>
  <si>
    <t>令和22年</t>
    <phoneticPr fontId="2"/>
  </si>
  <si>
    <t>(2015年)</t>
    <phoneticPr fontId="2"/>
  </si>
  <si>
    <t>(2020年)</t>
    <phoneticPr fontId="2"/>
  </si>
  <si>
    <t>(2025年)</t>
    <phoneticPr fontId="2"/>
  </si>
  <si>
    <t>(2030年)</t>
    <phoneticPr fontId="2"/>
  </si>
  <si>
    <t>(2035年)</t>
    <phoneticPr fontId="2"/>
  </si>
  <si>
    <t>年少人口</t>
    <phoneticPr fontId="2"/>
  </si>
  <si>
    <t>生産年齢人口</t>
    <phoneticPr fontId="2"/>
  </si>
  <si>
    <t>老年人口</t>
    <phoneticPr fontId="2"/>
  </si>
  <si>
    <t>合計</t>
    <phoneticPr fontId="2"/>
  </si>
  <si>
    <t>人数(人)</t>
    <phoneticPr fontId="2"/>
  </si>
  <si>
    <t>比率(％)</t>
    <phoneticPr fontId="2"/>
  </si>
  <si>
    <t>(2040年)</t>
    <phoneticPr fontId="2"/>
  </si>
  <si>
    <t>図１　将来総人口推計結果</t>
    <phoneticPr fontId="2"/>
  </si>
  <si>
    <t>図２　将来年齢３区分別人口構成</t>
    <phoneticPr fontId="2"/>
  </si>
  <si>
    <t>令和22年</t>
  </si>
  <si>
    <t>(2040年)</t>
  </si>
  <si>
    <t>(2045年)</t>
    <phoneticPr fontId="2"/>
  </si>
  <si>
    <t>令和27年</t>
    <phoneticPr fontId="2"/>
  </si>
  <si>
    <t>総数</t>
    <phoneticPr fontId="2"/>
  </si>
  <si>
    <t>男</t>
    <phoneticPr fontId="2"/>
  </si>
  <si>
    <t>令和2年</t>
  </si>
  <si>
    <t>令和7年</t>
  </si>
  <si>
    <t>令和12年</t>
  </si>
  <si>
    <t>令和17年</t>
  </si>
  <si>
    <t>(2020年)</t>
  </si>
  <si>
    <t>(2025年)</t>
  </si>
  <si>
    <t>(2030年)</t>
  </si>
  <si>
    <t>(2035年)</t>
  </si>
  <si>
    <t>コーホート要因法　推計人口の計算</t>
    <rPh sb="5" eb="7">
      <t>ヨウイン</t>
    </rPh>
    <rPh sb="7" eb="8">
      <t>ホウ</t>
    </rPh>
    <phoneticPr fontId="2"/>
  </si>
  <si>
    <t>(例）新潟市</t>
    <rPh sb="1" eb="2">
      <t>レイ</t>
    </rPh>
    <rPh sb="3" eb="6">
      <t>ニイガタシ</t>
    </rPh>
    <phoneticPr fontId="2"/>
  </si>
  <si>
    <t>１．指定市町村の年齢別人口を「平成27年国勢調査人口等基本集計」より取得</t>
    <rPh sb="2" eb="4">
      <t>シテイ</t>
    </rPh>
    <rPh sb="4" eb="7">
      <t>シチョウソン</t>
    </rPh>
    <rPh sb="8" eb="10">
      <t>ネンレイ</t>
    </rPh>
    <rPh sb="10" eb="11">
      <t>ベツ</t>
    </rPh>
    <rPh sb="11" eb="13">
      <t>ジンコウ</t>
    </rPh>
    <rPh sb="34" eb="36">
      <t>シュトク</t>
    </rPh>
    <phoneticPr fontId="2"/>
  </si>
  <si>
    <t>●元ファイルデータ</t>
    <rPh sb="1" eb="2">
      <t>モト</t>
    </rPh>
    <phoneticPr fontId="2"/>
  </si>
  <si>
    <t>総数（年齢）</t>
  </si>
  <si>
    <t>0歳</t>
  </si>
  <si>
    <t>1歳</t>
  </si>
  <si>
    <t>2歳</t>
  </si>
  <si>
    <t>3歳</t>
  </si>
  <si>
    <t>4歳</t>
  </si>
  <si>
    <t>5歳</t>
  </si>
  <si>
    <t>6歳</t>
  </si>
  <si>
    <t>7歳</t>
  </si>
  <si>
    <t>8歳</t>
  </si>
  <si>
    <t>9歳</t>
  </si>
  <si>
    <t>10歳</t>
  </si>
  <si>
    <t>11歳</t>
  </si>
  <si>
    <t>12歳</t>
  </si>
  <si>
    <t>13歳</t>
  </si>
  <si>
    <t>14歳</t>
  </si>
  <si>
    <t>15歳</t>
  </si>
  <si>
    <t>16歳</t>
  </si>
  <si>
    <t>17歳</t>
  </si>
  <si>
    <t>18歳</t>
  </si>
  <si>
    <t>19歳</t>
  </si>
  <si>
    <t>20歳</t>
  </si>
  <si>
    <t>21歳</t>
  </si>
  <si>
    <t>22歳</t>
  </si>
  <si>
    <t>23歳</t>
  </si>
  <si>
    <t>24歳</t>
  </si>
  <si>
    <t>25歳</t>
  </si>
  <si>
    <t>26歳</t>
  </si>
  <si>
    <t>27歳</t>
  </si>
  <si>
    <t>28歳</t>
  </si>
  <si>
    <t>29歳</t>
  </si>
  <si>
    <t>30歳</t>
  </si>
  <si>
    <t>31歳</t>
  </si>
  <si>
    <t>32歳</t>
  </si>
  <si>
    <t>33歳</t>
  </si>
  <si>
    <t>34歳</t>
  </si>
  <si>
    <t>35歳</t>
  </si>
  <si>
    <t>36歳</t>
  </si>
  <si>
    <t>37歳</t>
  </si>
  <si>
    <t>38歳</t>
  </si>
  <si>
    <t>39歳</t>
  </si>
  <si>
    <t>40歳</t>
  </si>
  <si>
    <t>41歳</t>
  </si>
  <si>
    <t>42歳</t>
  </si>
  <si>
    <t>43歳</t>
  </si>
  <si>
    <t>44歳</t>
  </si>
  <si>
    <t>45歳</t>
  </si>
  <si>
    <t>46歳</t>
  </si>
  <si>
    <t>47歳</t>
  </si>
  <si>
    <t>48歳</t>
  </si>
  <si>
    <t>49歳</t>
  </si>
  <si>
    <t>50歳</t>
  </si>
  <si>
    <t>51歳</t>
  </si>
  <si>
    <t>52歳</t>
  </si>
  <si>
    <t>53歳</t>
  </si>
  <si>
    <t>54歳</t>
  </si>
  <si>
    <t>55歳</t>
  </si>
  <si>
    <t>56歳</t>
  </si>
  <si>
    <t>57歳</t>
  </si>
  <si>
    <t>58歳</t>
  </si>
  <si>
    <t>59歳</t>
  </si>
  <si>
    <t>60歳</t>
  </si>
  <si>
    <t>61歳</t>
  </si>
  <si>
    <t>62歳</t>
  </si>
  <si>
    <t>63歳</t>
  </si>
  <si>
    <t>64歳</t>
  </si>
  <si>
    <t>65歳</t>
  </si>
  <si>
    <t>66歳</t>
  </si>
  <si>
    <t>67歳</t>
  </si>
  <si>
    <t>68歳</t>
  </si>
  <si>
    <t>69歳</t>
  </si>
  <si>
    <t>70歳</t>
  </si>
  <si>
    <t>71歳</t>
  </si>
  <si>
    <t>72歳</t>
  </si>
  <si>
    <t>73歳</t>
  </si>
  <si>
    <t>74歳</t>
  </si>
  <si>
    <t>75歳</t>
  </si>
  <si>
    <t>76歳</t>
  </si>
  <si>
    <t>77歳</t>
  </si>
  <si>
    <t>78歳</t>
  </si>
  <si>
    <t>79歳</t>
  </si>
  <si>
    <t>80歳</t>
  </si>
  <si>
    <t>81歳</t>
  </si>
  <si>
    <t>82歳</t>
  </si>
  <si>
    <t>83歳</t>
  </si>
  <si>
    <t>84歳</t>
  </si>
  <si>
    <t>85歳</t>
  </si>
  <si>
    <t>86歳</t>
  </si>
  <si>
    <t>87歳</t>
  </si>
  <si>
    <t>88歳</t>
  </si>
  <si>
    <t>89歳</t>
  </si>
  <si>
    <t>90歳</t>
  </si>
  <si>
    <t>91歳</t>
  </si>
  <si>
    <t>92歳</t>
  </si>
  <si>
    <t>93歳</t>
  </si>
  <si>
    <t>94歳</t>
  </si>
  <si>
    <t>95歳</t>
  </si>
  <si>
    <t>96歳</t>
  </si>
  <si>
    <t>97歳</t>
  </si>
  <si>
    <t>98歳</t>
  </si>
  <si>
    <t>99歳</t>
  </si>
  <si>
    <t>２．指定市町村の生残率を「平成27年国勢調査人口等基本集計」より取得</t>
    <rPh sb="8" eb="10">
      <t>セイザン</t>
    </rPh>
    <rPh sb="10" eb="11">
      <t>リツ</t>
    </rPh>
    <rPh sb="32" eb="34">
      <t>シュトク</t>
    </rPh>
    <phoneticPr fontId="2"/>
  </si>
  <si>
    <t>２．指定市町村の移動率を「平成27年国勢調査人口等基本集計」より取得</t>
    <rPh sb="8" eb="10">
      <t>イドウ</t>
    </rPh>
    <rPh sb="10" eb="11">
      <t>リツ</t>
    </rPh>
    <rPh sb="32" eb="34">
      <t>シュトク</t>
    </rPh>
    <phoneticPr fontId="2"/>
  </si>
  <si>
    <t>３．指定市町村の子ども女性比／0～4歳比を「平成27年国勢調査人口等基本集計」より取得</t>
    <rPh sb="8" eb="9">
      <t>コ</t>
    </rPh>
    <rPh sb="11" eb="13">
      <t>ジョセイ</t>
    </rPh>
    <rPh sb="13" eb="14">
      <t>ヒ</t>
    </rPh>
    <rPh sb="18" eb="19">
      <t>サイ</t>
    </rPh>
    <rPh sb="19" eb="20">
      <t>ヒ</t>
    </rPh>
    <rPh sb="41" eb="43">
      <t>シュトク</t>
    </rPh>
    <phoneticPr fontId="2"/>
  </si>
  <si>
    <t>４．平成27年年齢別5歳階級別人口に年齢不詳分人口をあん分</t>
    <rPh sb="2" eb="4">
      <t>ヘイセイ</t>
    </rPh>
    <rPh sb="6" eb="7">
      <t>ネン</t>
    </rPh>
    <rPh sb="7" eb="9">
      <t>ネンレイ</t>
    </rPh>
    <rPh sb="9" eb="10">
      <t>ベツ</t>
    </rPh>
    <rPh sb="11" eb="12">
      <t>サイ</t>
    </rPh>
    <rPh sb="12" eb="14">
      <t>カイキュウ</t>
    </rPh>
    <rPh sb="14" eb="15">
      <t>ベツ</t>
    </rPh>
    <rPh sb="15" eb="17">
      <t>ジンコウ</t>
    </rPh>
    <rPh sb="18" eb="20">
      <t>ネンレイ</t>
    </rPh>
    <rPh sb="20" eb="22">
      <t>フショウ</t>
    </rPh>
    <rPh sb="22" eb="23">
      <t>ブン</t>
    </rPh>
    <rPh sb="23" eb="25">
      <t>ジンコウ</t>
    </rPh>
    <rPh sb="28" eb="29">
      <t>ブン</t>
    </rPh>
    <phoneticPr fontId="2"/>
  </si>
  <si>
    <t>ｘ歳あん分人口 ＝ 〔年齢不詳人口〕×〔ｘ歳人口〕／〔年齢不詳除く合計人口〕</t>
    <rPh sb="1" eb="2">
      <t>サイ</t>
    </rPh>
    <rPh sb="4" eb="5">
      <t>ブン</t>
    </rPh>
    <rPh sb="5" eb="7">
      <t>ジンコウ</t>
    </rPh>
    <rPh sb="11" eb="13">
      <t>ネンレイ</t>
    </rPh>
    <rPh sb="13" eb="15">
      <t>フショウ</t>
    </rPh>
    <rPh sb="15" eb="17">
      <t>ジンコウ</t>
    </rPh>
    <rPh sb="21" eb="22">
      <t>サイ</t>
    </rPh>
    <rPh sb="22" eb="24">
      <t>ジンコウ</t>
    </rPh>
    <rPh sb="27" eb="29">
      <t>ネンレイ</t>
    </rPh>
    <rPh sb="29" eb="31">
      <t>フショウ</t>
    </rPh>
    <rPh sb="31" eb="32">
      <t>ノゾ</t>
    </rPh>
    <rPh sb="35" eb="37">
      <t>ジンコウ</t>
    </rPh>
    <phoneticPr fontId="2"/>
  </si>
  <si>
    <t>例)男 0～4歳</t>
    <rPh sb="0" eb="1">
      <t>レイ</t>
    </rPh>
    <rPh sb="2" eb="3">
      <t>オトコ</t>
    </rPh>
    <phoneticPr fontId="2"/>
  </si>
  <si>
    <t>15779 ＋ 3469 × 15779／386043 ＝ 15920.79</t>
    <phoneticPr fontId="2"/>
  </si>
  <si>
    <t>=15921</t>
    <phoneticPr fontId="2"/>
  </si>
  <si>
    <t>[四捨五入]</t>
    <rPh sb="1" eb="5">
      <t>シシャゴニュウ</t>
    </rPh>
    <phoneticPr fontId="2"/>
  </si>
  <si>
    <t>６．0～4歳の令和2年以降年齢別5歳階級別人口を算出</t>
    <rPh sb="5" eb="6">
      <t>サイ</t>
    </rPh>
    <rPh sb="7" eb="9">
      <t>レイワ</t>
    </rPh>
    <rPh sb="10" eb="11">
      <t>ネン</t>
    </rPh>
    <rPh sb="11" eb="13">
      <t>イコウ</t>
    </rPh>
    <rPh sb="13" eb="15">
      <t>ネンレイ</t>
    </rPh>
    <rPh sb="15" eb="16">
      <t>ベツ</t>
    </rPh>
    <rPh sb="17" eb="18">
      <t>サイ</t>
    </rPh>
    <rPh sb="18" eb="20">
      <t>カイキュウ</t>
    </rPh>
    <rPh sb="20" eb="21">
      <t>ベツ</t>
    </rPh>
    <rPh sb="21" eb="23">
      <t>ジンコウ</t>
    </rPh>
    <rPh sb="24" eb="26">
      <t>サンシュツ</t>
    </rPh>
    <phoneticPr fontId="2"/>
  </si>
  <si>
    <t>５．令和2年以降の年齢別5歳階級別人口（5～9歳以上）を生残率・移動率より算出</t>
    <rPh sb="2" eb="4">
      <t>レイワ</t>
    </rPh>
    <rPh sb="5" eb="8">
      <t>ネンイコウ</t>
    </rPh>
    <rPh sb="9" eb="11">
      <t>ネンレイ</t>
    </rPh>
    <rPh sb="11" eb="12">
      <t>ベツ</t>
    </rPh>
    <rPh sb="13" eb="14">
      <t>サイ</t>
    </rPh>
    <rPh sb="14" eb="16">
      <t>カイキュウ</t>
    </rPh>
    <rPh sb="16" eb="17">
      <t>ベツ</t>
    </rPh>
    <rPh sb="17" eb="19">
      <t>ジンコウ</t>
    </rPh>
    <rPh sb="23" eb="26">
      <t>サイイジョウ</t>
    </rPh>
    <rPh sb="28" eb="30">
      <t>セイザン</t>
    </rPh>
    <rPh sb="30" eb="31">
      <t>リツ</t>
    </rPh>
    <rPh sb="32" eb="34">
      <t>イドウ</t>
    </rPh>
    <rPh sb="34" eb="35">
      <t>リツ</t>
    </rPh>
    <rPh sb="37" eb="39">
      <t>サンシュツ</t>
    </rPh>
    <phoneticPr fontId="2"/>
  </si>
  <si>
    <t>例)男 (令和2年)5～9歳</t>
    <rPh sb="0" eb="1">
      <t>レイ</t>
    </rPh>
    <rPh sb="2" eb="3">
      <t>オトコ</t>
    </rPh>
    <rPh sb="5" eb="7">
      <t>レイワ</t>
    </rPh>
    <rPh sb="8" eb="9">
      <t>ネン</t>
    </rPh>
    <phoneticPr fontId="2"/>
  </si>
  <si>
    <t>15921 ×｛ 0.99923 ＋ 0.0162 ｝＝ 16166.66</t>
    <phoneticPr fontId="2"/>
  </si>
  <si>
    <t>=16167</t>
    <phoneticPr fontId="2"/>
  </si>
  <si>
    <t>例)男 (令和2年)0～4歳</t>
    <rPh sb="0" eb="1">
      <t>レイ</t>
    </rPh>
    <rPh sb="2" eb="3">
      <t>オトコ</t>
    </rPh>
    <rPh sb="5" eb="7">
      <t>レイワ</t>
    </rPh>
    <rPh sb="8" eb="9">
      <t>ネン</t>
    </rPh>
    <phoneticPr fontId="2"/>
  </si>
  <si>
    <t>令和2年15~49歳女人口＝157706</t>
    <rPh sb="0" eb="2">
      <t>レイワ</t>
    </rPh>
    <rPh sb="3" eb="4">
      <t>ネン</t>
    </rPh>
    <rPh sb="9" eb="10">
      <t>サイ</t>
    </rPh>
    <rPh sb="10" eb="11">
      <t>オンナ</t>
    </rPh>
    <rPh sb="11" eb="13">
      <t>ジンコウ</t>
    </rPh>
    <phoneticPr fontId="2"/>
  </si>
  <si>
    <t>=15090</t>
    <phoneticPr fontId="2"/>
  </si>
  <si>
    <t>157706 × 0.18664 ×｛ 105.1962 ／（ 100 ＋ 105.1962 ） ｝＝ 15089.81</t>
    <phoneticPr fontId="2"/>
  </si>
  <si>
    <t>例)女 (令和2年)0～4歳</t>
    <rPh sb="0" eb="1">
      <t>レイ</t>
    </rPh>
    <rPh sb="2" eb="3">
      <t>オンナ</t>
    </rPh>
    <rPh sb="5" eb="7">
      <t>レイワ</t>
    </rPh>
    <rPh sb="8" eb="9">
      <t>ネン</t>
    </rPh>
    <phoneticPr fontId="2"/>
  </si>
  <si>
    <t>=14344</t>
    <phoneticPr fontId="2"/>
  </si>
  <si>
    <t>157706 × 0.18664 ×｛ 100 ／（ 100 ＋ 105.1962 ） ｝＝ 14344.44</t>
    <phoneticPr fontId="2"/>
  </si>
  <si>
    <t>７．年少人口・生産年齢人口・老年人口別人口の算出</t>
    <rPh sb="2" eb="4">
      <t>ネンショウ</t>
    </rPh>
    <rPh sb="4" eb="6">
      <t>ジンコウ</t>
    </rPh>
    <rPh sb="7" eb="9">
      <t>セイサン</t>
    </rPh>
    <rPh sb="9" eb="11">
      <t>ネンレイ</t>
    </rPh>
    <rPh sb="11" eb="13">
      <t>ジンコウ</t>
    </rPh>
    <rPh sb="14" eb="16">
      <t>ロウネン</t>
    </rPh>
    <rPh sb="16" eb="18">
      <t>ジンコウ</t>
    </rPh>
    <rPh sb="18" eb="19">
      <t>ベツ</t>
    </rPh>
    <rPh sb="19" eb="21">
      <t>ジンコウ</t>
    </rPh>
    <rPh sb="22" eb="24">
      <t>サンシュツ</t>
    </rPh>
    <phoneticPr fontId="2"/>
  </si>
  <si>
    <t>0～14歳</t>
    <rPh sb="4" eb="5">
      <t>サイ</t>
    </rPh>
    <phoneticPr fontId="2"/>
  </si>
  <si>
    <t>15～64歳</t>
    <rPh sb="5" eb="6">
      <t>サイ</t>
    </rPh>
    <phoneticPr fontId="2"/>
  </si>
  <si>
    <t>65歳以上</t>
    <rPh sb="2" eb="5">
      <t>サイイジョウ</t>
    </rPh>
    <phoneticPr fontId="2"/>
  </si>
  <si>
    <t>平成27年</t>
  </si>
  <si>
    <t>令和27年</t>
  </si>
  <si>
    <t>年少人口</t>
  </si>
  <si>
    <t>生産年齢人口</t>
  </si>
  <si>
    <t>老年人口</t>
  </si>
  <si>
    <t>合計</t>
  </si>
  <si>
    <t>【総数】</t>
    <phoneticPr fontId="2"/>
  </si>
  <si>
    <t>【男】</t>
    <phoneticPr fontId="2"/>
  </si>
  <si>
    <t>【女】</t>
    <rPh sb="1" eb="2">
      <t>オンナ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</si>
</sst>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</font>
    <font>
      <b/>
      <sz val="18"/>
      <color theme="1"/>
      <name val="BIZ UDP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57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1" xfId="0" applyFill="1" applyBorder="1" applyAlignment="1" applyProtection="1">
      <alignment vertical="center"/>
      <protection locked="0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0" borderId="2" xfId="0" applyBorder="1" applyAlignment="1">
      <alignment vertical="center" shrinkToFit="1"/>
    </xf>
    <xf numFmtId="0" fontId="0" fillId="0" borderId="4" xfId="0" applyBorder="1" applyAlignment="1">
      <alignment vertical="center" shrinkToFit="1"/>
    </xf>
    <xf numFmtId="0" fontId="0" fillId="0" borderId="5" xfId="0" applyBorder="1" applyAlignment="1">
      <alignment vertical="center" shrinkToFit="1"/>
    </xf>
    <xf numFmtId="0" fontId="0" fillId="0" borderId="6" xfId="0" applyBorder="1" applyAlignment="1">
      <alignment vertical="center" shrinkToFit="1"/>
    </xf>
    <xf numFmtId="0" fontId="0" fillId="0" borderId="10" xfId="0" applyBorder="1" applyAlignment="1">
      <alignment horizontal="distributed" vertical="center" shrinkToFit="1"/>
    </xf>
    <xf numFmtId="0" fontId="0" fillId="0" borderId="11" xfId="0" applyBorder="1" applyAlignment="1">
      <alignment horizontal="distributed" vertical="center" shrinkToFit="1"/>
    </xf>
    <xf numFmtId="0" fontId="0" fillId="0" borderId="12" xfId="0" applyBorder="1" applyAlignment="1">
      <alignment horizontal="distributed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38" fontId="0" fillId="4" borderId="19" xfId="1" applyFont="1" applyFill="1" applyBorder="1" applyAlignment="1">
      <alignment vertical="center" shrinkToFit="1"/>
    </xf>
    <xf numFmtId="38" fontId="0" fillId="4" borderId="20" xfId="1" applyFont="1" applyFill="1" applyBorder="1" applyAlignment="1">
      <alignment vertical="center" shrinkToFit="1"/>
    </xf>
    <xf numFmtId="38" fontId="0" fillId="4" borderId="13" xfId="1" applyFont="1" applyFill="1" applyBorder="1" applyAlignment="1">
      <alignment vertical="center" shrinkToFit="1"/>
    </xf>
    <xf numFmtId="176" fontId="0" fillId="0" borderId="21" xfId="0" applyNumberFormat="1" applyBorder="1">
      <alignment vertical="center"/>
    </xf>
    <xf numFmtId="176" fontId="0" fillId="0" borderId="22" xfId="0" applyNumberFormat="1" applyBorder="1">
      <alignment vertical="center"/>
    </xf>
    <xf numFmtId="176" fontId="0" fillId="0" borderId="14" xfId="0" applyNumberFormat="1" applyBorder="1">
      <alignment vertical="center"/>
    </xf>
    <xf numFmtId="38" fontId="0" fillId="4" borderId="19" xfId="1" applyFont="1" applyFill="1" applyBorder="1">
      <alignment vertical="center"/>
    </xf>
    <xf numFmtId="38" fontId="0" fillId="4" borderId="20" xfId="1" applyFont="1" applyFill="1" applyBorder="1">
      <alignment vertical="center"/>
    </xf>
    <xf numFmtId="38" fontId="0" fillId="4" borderId="13" xfId="1" applyFont="1" applyFill="1" applyBorder="1">
      <alignment vertical="center"/>
    </xf>
    <xf numFmtId="38" fontId="0" fillId="0" borderId="19" xfId="1" applyFont="1" applyBorder="1">
      <alignment vertical="center"/>
    </xf>
    <xf numFmtId="38" fontId="0" fillId="0" borderId="20" xfId="1" applyFont="1" applyBorder="1">
      <alignment vertical="center"/>
    </xf>
    <xf numFmtId="38" fontId="0" fillId="0" borderId="13" xfId="1" applyFont="1" applyBorder="1">
      <alignment vertical="center"/>
    </xf>
    <xf numFmtId="0" fontId="0" fillId="0" borderId="2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38" fontId="0" fillId="4" borderId="25" xfId="1" applyFont="1" applyFill="1" applyBorder="1" applyAlignment="1">
      <alignment vertical="center" shrinkToFit="1"/>
    </xf>
    <xf numFmtId="38" fontId="0" fillId="4" borderId="25" xfId="1" applyFont="1" applyFill="1" applyBorder="1">
      <alignment vertical="center"/>
    </xf>
    <xf numFmtId="0" fontId="0" fillId="0" borderId="0" xfId="0" applyFill="1">
      <alignment vertical="center"/>
    </xf>
    <xf numFmtId="0" fontId="0" fillId="0" borderId="0" xfId="0" applyFill="1" applyBorder="1" applyAlignment="1">
      <alignment horizontal="center" vertical="center" shrinkToFit="1"/>
    </xf>
    <xf numFmtId="38" fontId="0" fillId="0" borderId="0" xfId="1" applyFont="1" applyFill="1" applyBorder="1" applyAlignment="1">
      <alignment vertical="center" shrinkToFit="1"/>
    </xf>
    <xf numFmtId="176" fontId="0" fillId="0" borderId="0" xfId="0" applyNumberFormat="1" applyFill="1" applyBorder="1">
      <alignment vertical="center"/>
    </xf>
    <xf numFmtId="38" fontId="0" fillId="0" borderId="0" xfId="1" applyFont="1" applyFill="1" applyBorder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0" borderId="0" xfId="0" quotePrefix="1">
      <alignment vertical="center"/>
    </xf>
    <xf numFmtId="0" fontId="0" fillId="0" borderId="0" xfId="0" applyAlignment="1">
      <alignment horizontal="left" vertical="center" indent="1"/>
    </xf>
    <xf numFmtId="38" fontId="0" fillId="0" borderId="0" xfId="1" applyFont="1">
      <alignment vertical="center"/>
    </xf>
    <xf numFmtId="0" fontId="5" fillId="3" borderId="2" xfId="0" applyFont="1" applyFill="1" applyBorder="1" applyAlignment="1">
      <alignment horizontal="center" vertical="center" shrinkToFit="1"/>
    </xf>
    <xf numFmtId="0" fontId="5" fillId="0" borderId="3" xfId="0" applyFont="1" applyBorder="1" applyAlignment="1">
      <alignment horizontal="center" vertical="center" shrinkToFit="1"/>
    </xf>
    <xf numFmtId="0" fontId="5" fillId="0" borderId="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0" fillId="0" borderId="0" xfId="0" applyAlignmen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output!$B$5</c:f>
              <c:strCache>
                <c:ptCount val="1"/>
                <c:pt idx="0">
                  <c:v>年少人口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output!$D$3:$J$3</c:f>
              <c:strCache>
                <c:ptCount val="7"/>
                <c:pt idx="0">
                  <c:v>平成27年</c:v>
                </c:pt>
                <c:pt idx="1">
                  <c:v>令和2年</c:v>
                </c:pt>
                <c:pt idx="2">
                  <c:v>令和7年</c:v>
                </c:pt>
                <c:pt idx="3">
                  <c:v>令和12年</c:v>
                </c:pt>
                <c:pt idx="4">
                  <c:v>令和17年</c:v>
                </c:pt>
                <c:pt idx="5">
                  <c:v>令和22年</c:v>
                </c:pt>
                <c:pt idx="6">
                  <c:v>令和27年</c:v>
                </c:pt>
              </c:strCache>
            </c:strRef>
          </c:cat>
          <c:val>
            <c:numRef>
              <c:f>output!$D$5:$J$5</c:f>
              <c:numCache>
                <c:formatCode>#,##0_);[Red]\(#,##0\)</c:formatCode>
                <c:ptCount val="7"/>
                <c:pt idx="0">
                  <c:v>99096</c:v>
                </c:pt>
                <c:pt idx="1">
                  <c:v>94654</c:v>
                </c:pt>
                <c:pt idx="2">
                  <c:v>88858</c:v>
                </c:pt>
                <c:pt idx="3">
                  <c:v>83378</c:v>
                </c:pt>
                <c:pt idx="4">
                  <c:v>78503</c:v>
                </c:pt>
                <c:pt idx="5">
                  <c:v>74823</c:v>
                </c:pt>
                <c:pt idx="6">
                  <c:v>70860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93-485A-8816-E8DF0FD8C03A}"/>
            </c:ext>
          </c:extLst>
        </c:ser>
        <c:ser>
          <c:idx val="1"/>
          <c:order val="1"/>
          <c:tx>
            <c:strRef>
              <c:f>output!$B$7</c:f>
              <c:strCache>
                <c:ptCount val="1"/>
                <c:pt idx="0">
                  <c:v>生産年齢人口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output!$D$3:$J$3</c:f>
              <c:strCache>
                <c:ptCount val="7"/>
                <c:pt idx="0">
                  <c:v>平成27年</c:v>
                </c:pt>
                <c:pt idx="1">
                  <c:v>令和2年</c:v>
                </c:pt>
                <c:pt idx="2">
                  <c:v>令和7年</c:v>
                </c:pt>
                <c:pt idx="3">
                  <c:v>令和12年</c:v>
                </c:pt>
                <c:pt idx="4">
                  <c:v>令和17年</c:v>
                </c:pt>
                <c:pt idx="5">
                  <c:v>令和22年</c:v>
                </c:pt>
                <c:pt idx="6">
                  <c:v>令和27年</c:v>
                </c:pt>
              </c:strCache>
            </c:strRef>
          </c:cat>
          <c:val>
            <c:numRef>
              <c:f>output!$D$7:$J$7</c:f>
              <c:numCache>
                <c:formatCode>#,##0_);[Red]\(#,##0\)</c:formatCode>
                <c:ptCount val="7"/>
                <c:pt idx="0">
                  <c:v>492410</c:v>
                </c:pt>
                <c:pt idx="1">
                  <c:v>469388</c:v>
                </c:pt>
                <c:pt idx="2">
                  <c:v>453423</c:v>
                </c:pt>
                <c:pt idx="3">
                  <c:v>435583</c:v>
                </c:pt>
                <c:pt idx="4">
                  <c:v>412755</c:v>
                </c:pt>
                <c:pt idx="5">
                  <c:v>380003</c:v>
                </c:pt>
                <c:pt idx="6">
                  <c:v>352230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93-485A-8816-E8DF0FD8C03A}"/>
            </c:ext>
          </c:extLst>
        </c:ser>
        <c:ser>
          <c:idx val="2"/>
          <c:order val="2"/>
          <c:tx>
            <c:strRef>
              <c:f>output!$B$9</c:f>
              <c:strCache>
                <c:ptCount val="1"/>
                <c:pt idx="0">
                  <c:v>老年人口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output!$D$3:$J$3</c:f>
              <c:strCache>
                <c:ptCount val="7"/>
                <c:pt idx="0">
                  <c:v>平成27年</c:v>
                </c:pt>
                <c:pt idx="1">
                  <c:v>令和2年</c:v>
                </c:pt>
                <c:pt idx="2">
                  <c:v>令和7年</c:v>
                </c:pt>
                <c:pt idx="3">
                  <c:v>令和12年</c:v>
                </c:pt>
                <c:pt idx="4">
                  <c:v>令和17年</c:v>
                </c:pt>
                <c:pt idx="5">
                  <c:v>令和22年</c:v>
                </c:pt>
                <c:pt idx="6">
                  <c:v>令和27年</c:v>
                </c:pt>
              </c:strCache>
            </c:strRef>
          </c:cat>
          <c:val>
            <c:numRef>
              <c:f>output!$D$9:$J$9</c:f>
              <c:numCache>
                <c:formatCode>#,##0_);[Red]\(#,##0\)</c:formatCode>
                <c:ptCount val="7"/>
                <c:pt idx="0">
                  <c:v>218653</c:v>
                </c:pt>
                <c:pt idx="1">
                  <c:v>238852</c:v>
                </c:pt>
                <c:pt idx="2">
                  <c:v>245667</c:v>
                </c:pt>
                <c:pt idx="3">
                  <c:v>248624</c:v>
                </c:pt>
                <c:pt idx="4">
                  <c:v>252194</c:v>
                </c:pt>
                <c:pt idx="5">
                  <c:v>260322</c:v>
                </c:pt>
                <c:pt idx="6">
                  <c:v>260844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93-485A-8816-E8DF0FD8C03A}"/>
            </c:ext>
          </c:extLst>
        </c:ser>
        <c:ser>
          <c:idx val="3"/>
          <c:order val="3"/>
          <c:tx>
            <c:strRef>
              <c:f>output!$B$11</c:f>
              <c:strCache>
                <c:ptCount val="1"/>
                <c:pt idx="0">
                  <c:v>合計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output!$D$3:$J$3</c:f>
              <c:strCache>
                <c:ptCount val="7"/>
                <c:pt idx="0">
                  <c:v>平成27年</c:v>
                </c:pt>
                <c:pt idx="1">
                  <c:v>令和2年</c:v>
                </c:pt>
                <c:pt idx="2">
                  <c:v>令和7年</c:v>
                </c:pt>
                <c:pt idx="3">
                  <c:v>令和12年</c:v>
                </c:pt>
                <c:pt idx="4">
                  <c:v>令和17年</c:v>
                </c:pt>
                <c:pt idx="5">
                  <c:v>令和22年</c:v>
                </c:pt>
                <c:pt idx="6">
                  <c:v>令和27年</c:v>
                </c:pt>
              </c:strCache>
            </c:strRef>
          </c:cat>
          <c:val>
            <c:numRef>
              <c:f>output!$D$11:$J$11</c:f>
              <c:numCache>
                <c:formatCode>#,##0_);[Red]\(#,##0\)</c:formatCode>
                <c:ptCount val="7"/>
                <c:pt idx="0">
                  <c:v>810159</c:v>
                </c:pt>
                <c:pt idx="1">
                  <c:v>802894</c:v>
                </c:pt>
                <c:pt idx="2">
                  <c:v>787948</c:v>
                </c:pt>
                <c:pt idx="3">
                  <c:v>767585</c:v>
                </c:pt>
                <c:pt idx="4">
                  <c:v>743452</c:v>
                </c:pt>
                <c:pt idx="5">
                  <c:v>715148</c:v>
                </c:pt>
                <c:pt idx="6">
                  <c:v>683934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493-485A-8816-E8DF0FD8C03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73004168"/>
        <c:axId val="672998920"/>
      </c:lineChart>
      <c:catAx>
        <c:axId val="673004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72998920"/>
        <c:crosses val="autoZero"/>
        <c:auto val="1"/>
        <c:lblAlgn val="ctr"/>
        <c:lblOffset val="100"/>
        <c:noMultiLvlLbl val="0"/>
      </c:catAx>
      <c:valAx>
        <c:axId val="672998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人数</a:t>
                </a:r>
                <a:r>
                  <a:rPr lang="en-US" altLang="ja-JP"/>
                  <a:t>(</a:t>
                </a:r>
                <a:r>
                  <a:rPr lang="ja-JP" altLang="en-US"/>
                  <a:t>人</a:t>
                </a:r>
                <a:r>
                  <a:rPr lang="en-US" altLang="ja-JP"/>
                  <a:t>)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73004168"/>
        <c:crosses val="autoZero"/>
        <c:crossBetween val="between"/>
      </c:valAx>
      <c:spPr>
        <a:noFill/>
        <a:ln>
          <a:solidFill>
            <a:schemeClr val="bg1">
              <a:lumMod val="6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output!$B$5</c:f>
              <c:strCache>
                <c:ptCount val="1"/>
                <c:pt idx="0">
                  <c:v>年少人口</c:v>
                </c:pt>
              </c:strCache>
            </c:strRef>
          </c:tx>
          <c:spPr>
            <a:gradFill flip="none" rotWithShape="1">
              <a:gsLst>
                <a:gs pos="0">
                  <a:schemeClr val="accent5">
                    <a:lumMod val="89000"/>
                  </a:schemeClr>
                </a:gs>
                <a:gs pos="23000">
                  <a:schemeClr val="accent5">
                    <a:lumMod val="89000"/>
                  </a:schemeClr>
                </a:gs>
                <a:gs pos="69000">
                  <a:schemeClr val="accent5">
                    <a:lumMod val="75000"/>
                  </a:schemeClr>
                </a:gs>
                <a:gs pos="97000">
                  <a:schemeClr val="accent5">
                    <a:lumMod val="70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output!$D$3:$J$3</c:f>
              <c:strCache>
                <c:ptCount val="7"/>
                <c:pt idx="0">
                  <c:v>平成27年</c:v>
                </c:pt>
                <c:pt idx="1">
                  <c:v>令和2年</c:v>
                </c:pt>
                <c:pt idx="2">
                  <c:v>令和7年</c:v>
                </c:pt>
                <c:pt idx="3">
                  <c:v>令和12年</c:v>
                </c:pt>
                <c:pt idx="4">
                  <c:v>令和17年</c:v>
                </c:pt>
                <c:pt idx="5">
                  <c:v>令和22年</c:v>
                </c:pt>
                <c:pt idx="6">
                  <c:v>令和27年</c:v>
                </c:pt>
              </c:strCache>
            </c:strRef>
          </c:cat>
          <c:val>
            <c:numRef>
              <c:f>output!$D$6:$J$6</c:f>
              <c:numCache>
                <c:formatCode>0.0_ </c:formatCode>
                <c:ptCount val="7"/>
                <c:pt idx="0">
                  <c:v>12.23167304195843</c:v>
                </c:pt>
                <c:pt idx="1">
                  <c:v>11.789102920186226</c:v>
                </c:pt>
                <c:pt idx="2">
                  <c:v>11.277140115845208</c:v>
                </c:pt>
                <c:pt idx="3">
                  <c:v>10.862380062142956</c:v>
                </c:pt>
                <c:pt idx="4">
                  <c:v>10.559256011147996</c:v>
                </c:pt>
                <c:pt idx="5">
                  <c:v>10.462589561880897</c:v>
                </c:pt>
                <c:pt idx="6">
                  <c:v>10.360648834536667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D7-4D50-83EC-A549BB3E65B7}"/>
            </c:ext>
          </c:extLst>
        </c:ser>
        <c:ser>
          <c:idx val="1"/>
          <c:order val="1"/>
          <c:tx>
            <c:strRef>
              <c:f>output!$B$7</c:f>
              <c:strCache>
                <c:ptCount val="1"/>
                <c:pt idx="0">
                  <c:v>生産年齢人口</c:v>
                </c:pt>
              </c:strCache>
            </c:strRef>
          </c:tx>
          <c:spPr>
            <a:gradFill flip="none" rotWithShape="1">
              <a:gsLst>
                <a:gs pos="0">
                  <a:schemeClr val="accent2">
                    <a:lumMod val="89000"/>
                  </a:schemeClr>
                </a:gs>
                <a:gs pos="23000">
                  <a:schemeClr val="accent2">
                    <a:lumMod val="89000"/>
                  </a:schemeClr>
                </a:gs>
                <a:gs pos="69000">
                  <a:schemeClr val="accent2">
                    <a:lumMod val="75000"/>
                  </a:schemeClr>
                </a:gs>
                <a:gs pos="97000">
                  <a:schemeClr val="accent2">
                    <a:lumMod val="70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output!$D$3:$J$3</c:f>
              <c:strCache>
                <c:ptCount val="7"/>
                <c:pt idx="0">
                  <c:v>平成27年</c:v>
                </c:pt>
                <c:pt idx="1">
                  <c:v>令和2年</c:v>
                </c:pt>
                <c:pt idx="2">
                  <c:v>令和7年</c:v>
                </c:pt>
                <c:pt idx="3">
                  <c:v>令和12年</c:v>
                </c:pt>
                <c:pt idx="4">
                  <c:v>令和17年</c:v>
                </c:pt>
                <c:pt idx="5">
                  <c:v>令和22年</c:v>
                </c:pt>
                <c:pt idx="6">
                  <c:v>令和27年</c:v>
                </c:pt>
              </c:strCache>
            </c:strRef>
          </c:cat>
          <c:val>
            <c:numRef>
              <c:f>output!$D$8:$J$8</c:f>
              <c:numCache>
                <c:formatCode>0.0_ </c:formatCode>
                <c:ptCount val="7"/>
                <c:pt idx="0">
                  <c:v>60.779427248231521</c:v>
                </c:pt>
                <c:pt idx="1">
                  <c:v>58.462013665564818</c:v>
                </c:pt>
                <c:pt idx="2">
                  <c:v>57.544787219461178</c:v>
                </c:pt>
                <c:pt idx="3">
                  <c:v>56.747200635760208</c:v>
                </c:pt>
                <c:pt idx="4">
                  <c:v>55.518715397900607</c:v>
                </c:pt>
                <c:pt idx="5">
                  <c:v>53.136273890159799</c:v>
                </c:pt>
                <c:pt idx="6">
                  <c:v>51.500583389625312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D7-4D50-83EC-A549BB3E65B7}"/>
            </c:ext>
          </c:extLst>
        </c:ser>
        <c:ser>
          <c:idx val="2"/>
          <c:order val="2"/>
          <c:tx>
            <c:strRef>
              <c:f>output!$B$9</c:f>
              <c:strCache>
                <c:ptCount val="1"/>
                <c:pt idx="0">
                  <c:v>老年人口</c:v>
                </c:pt>
              </c:strCache>
            </c:strRef>
          </c:tx>
          <c:spPr>
            <a:gradFill flip="none" rotWithShape="1">
              <a:gsLst>
                <a:gs pos="0">
                  <a:schemeClr val="accent4">
                    <a:lumMod val="89000"/>
                  </a:schemeClr>
                </a:gs>
                <a:gs pos="23000">
                  <a:schemeClr val="accent4">
                    <a:lumMod val="89000"/>
                  </a:schemeClr>
                </a:gs>
                <a:gs pos="69000">
                  <a:schemeClr val="accent4">
                    <a:lumMod val="75000"/>
                  </a:schemeClr>
                </a:gs>
                <a:gs pos="97000">
                  <a:schemeClr val="accent4">
                    <a:lumMod val="70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output!$D$3:$J$3</c:f>
              <c:strCache>
                <c:ptCount val="7"/>
                <c:pt idx="0">
                  <c:v>平成27年</c:v>
                </c:pt>
                <c:pt idx="1">
                  <c:v>令和2年</c:v>
                </c:pt>
                <c:pt idx="2">
                  <c:v>令和7年</c:v>
                </c:pt>
                <c:pt idx="3">
                  <c:v>令和12年</c:v>
                </c:pt>
                <c:pt idx="4">
                  <c:v>令和17年</c:v>
                </c:pt>
                <c:pt idx="5">
                  <c:v>令和22年</c:v>
                </c:pt>
                <c:pt idx="6">
                  <c:v>令和27年</c:v>
                </c:pt>
              </c:strCache>
            </c:strRef>
          </c:cat>
          <c:val>
            <c:numRef>
              <c:f>output!$D$10:$J$10</c:f>
              <c:numCache>
                <c:formatCode>0.0_ </c:formatCode>
                <c:ptCount val="7"/>
                <c:pt idx="0">
                  <c:v>26.988899709810049</c:v>
                </c:pt>
                <c:pt idx="1">
                  <c:v>29.748883414248954</c:v>
                </c:pt>
                <c:pt idx="2">
                  <c:v>31.178072664693605</c:v>
                </c:pt>
                <c:pt idx="3">
                  <c:v>32.390419302096838</c:v>
                </c:pt>
                <c:pt idx="4">
                  <c:v>33.922028590951399</c:v>
                </c:pt>
                <c:pt idx="5">
                  <c:v>36.401136547959304</c:v>
                </c:pt>
                <c:pt idx="6">
                  <c:v>38.138767775838019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D7-4D50-83EC-A549BB3E65B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12461184"/>
        <c:axId val="712463808"/>
      </c:barChart>
      <c:catAx>
        <c:axId val="712461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2463808"/>
        <c:crosses val="autoZero"/>
        <c:auto val="1"/>
        <c:lblAlgn val="ctr"/>
        <c:lblOffset val="100"/>
        <c:noMultiLvlLbl val="0"/>
      </c:catAx>
      <c:valAx>
        <c:axId val="71246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2461184"/>
        <c:crosses val="autoZero"/>
        <c:crossBetween val="between"/>
      </c:valAx>
      <c:spPr>
        <a:noFill/>
        <a:ln>
          <a:solidFill>
            <a:schemeClr val="bg1">
              <a:lumMod val="6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output!$M$5</c:f>
              <c:strCache>
                <c:ptCount val="1"/>
                <c:pt idx="0">
                  <c:v>年少人口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output!$O$3:$U$3</c:f>
              <c:strCache>
                <c:ptCount val="7"/>
                <c:pt idx="0">
                  <c:v>平成27年</c:v>
                </c:pt>
                <c:pt idx="1">
                  <c:v>令和2年</c:v>
                </c:pt>
                <c:pt idx="2">
                  <c:v>令和7年</c:v>
                </c:pt>
                <c:pt idx="3">
                  <c:v>令和12年</c:v>
                </c:pt>
                <c:pt idx="4">
                  <c:v>令和17年</c:v>
                </c:pt>
                <c:pt idx="5">
                  <c:v>令和22年</c:v>
                </c:pt>
                <c:pt idx="6">
                  <c:v>令和27年</c:v>
                </c:pt>
              </c:strCache>
            </c:strRef>
          </c:cat>
          <c:val>
            <c:numRef>
              <c:f>output!$O$5:$U$5</c:f>
              <c:numCache>
                <c:formatCode>#,##0_);[Red]\(#,##0\)</c:formatCode>
                <c:ptCount val="7"/>
                <c:pt idx="0">
                  <c:v>50700</c:v>
                </c:pt>
                <c:pt idx="1">
                  <c:v>48364</c:v>
                </c:pt>
                <c:pt idx="2">
                  <c:v>45449</c:v>
                </c:pt>
                <c:pt idx="3">
                  <c:v>42668</c:v>
                </c:pt>
                <c:pt idx="4">
                  <c:v>40174</c:v>
                </c:pt>
                <c:pt idx="5">
                  <c:v>38291</c:v>
                </c:pt>
                <c:pt idx="6">
                  <c:v>36263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E6-46CB-9020-BA6A63226635}"/>
            </c:ext>
          </c:extLst>
        </c:ser>
        <c:ser>
          <c:idx val="1"/>
          <c:order val="1"/>
          <c:tx>
            <c:strRef>
              <c:f>output!$M$7</c:f>
              <c:strCache>
                <c:ptCount val="1"/>
                <c:pt idx="0">
                  <c:v>生産年齢人口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output!$O$3:$U$3</c:f>
              <c:strCache>
                <c:ptCount val="7"/>
                <c:pt idx="0">
                  <c:v>平成27年</c:v>
                </c:pt>
                <c:pt idx="1">
                  <c:v>令和2年</c:v>
                </c:pt>
                <c:pt idx="2">
                  <c:v>令和7年</c:v>
                </c:pt>
                <c:pt idx="3">
                  <c:v>令和12年</c:v>
                </c:pt>
                <c:pt idx="4">
                  <c:v>令和17年</c:v>
                </c:pt>
                <c:pt idx="5">
                  <c:v>令和22年</c:v>
                </c:pt>
                <c:pt idx="6">
                  <c:v>令和27年</c:v>
                </c:pt>
              </c:strCache>
            </c:strRef>
          </c:cat>
          <c:val>
            <c:numRef>
              <c:f>output!$O$7:$U$7</c:f>
              <c:numCache>
                <c:formatCode>#,##0_);[Red]\(#,##0\)</c:formatCode>
                <c:ptCount val="7"/>
                <c:pt idx="0">
                  <c:v>245732</c:v>
                </c:pt>
                <c:pt idx="1">
                  <c:v>234992</c:v>
                </c:pt>
                <c:pt idx="2">
                  <c:v>227302</c:v>
                </c:pt>
                <c:pt idx="3">
                  <c:v>218769</c:v>
                </c:pt>
                <c:pt idx="4">
                  <c:v>207505</c:v>
                </c:pt>
                <c:pt idx="5">
                  <c:v>191327</c:v>
                </c:pt>
                <c:pt idx="6">
                  <c:v>177430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E6-46CB-9020-BA6A63226635}"/>
            </c:ext>
          </c:extLst>
        </c:ser>
        <c:ser>
          <c:idx val="2"/>
          <c:order val="2"/>
          <c:tx>
            <c:strRef>
              <c:f>output!$M$9</c:f>
              <c:strCache>
                <c:ptCount val="1"/>
                <c:pt idx="0">
                  <c:v>老年人口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output!$O$3:$U$3</c:f>
              <c:strCache>
                <c:ptCount val="7"/>
                <c:pt idx="0">
                  <c:v>平成27年</c:v>
                </c:pt>
                <c:pt idx="1">
                  <c:v>令和2年</c:v>
                </c:pt>
                <c:pt idx="2">
                  <c:v>令和7年</c:v>
                </c:pt>
                <c:pt idx="3">
                  <c:v>令和12年</c:v>
                </c:pt>
                <c:pt idx="4">
                  <c:v>令和17年</c:v>
                </c:pt>
                <c:pt idx="5">
                  <c:v>令和22年</c:v>
                </c:pt>
                <c:pt idx="6">
                  <c:v>令和27年</c:v>
                </c:pt>
              </c:strCache>
            </c:strRef>
          </c:cat>
          <c:val>
            <c:numRef>
              <c:f>output!$O$9:$U$9</c:f>
              <c:numCache>
                <c:formatCode>#,##0_);[Red]\(#,##0\)</c:formatCode>
                <c:ptCount val="7"/>
                <c:pt idx="0">
                  <c:v>93082</c:v>
                </c:pt>
                <c:pt idx="1">
                  <c:v>102469</c:v>
                </c:pt>
                <c:pt idx="2">
                  <c:v>105740</c:v>
                </c:pt>
                <c:pt idx="3">
                  <c:v>107169</c:v>
                </c:pt>
                <c:pt idx="4">
                  <c:v>109029</c:v>
                </c:pt>
                <c:pt idx="5">
                  <c:v>113439</c:v>
                </c:pt>
                <c:pt idx="6">
                  <c:v>114659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E6-46CB-9020-BA6A63226635}"/>
            </c:ext>
          </c:extLst>
        </c:ser>
        <c:ser>
          <c:idx val="3"/>
          <c:order val="3"/>
          <c:tx>
            <c:strRef>
              <c:f>output!$M$11</c:f>
              <c:strCache>
                <c:ptCount val="1"/>
                <c:pt idx="0">
                  <c:v>合計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output!$O$3:$U$3</c:f>
              <c:strCache>
                <c:ptCount val="7"/>
                <c:pt idx="0">
                  <c:v>平成27年</c:v>
                </c:pt>
                <c:pt idx="1">
                  <c:v>令和2年</c:v>
                </c:pt>
                <c:pt idx="2">
                  <c:v>令和7年</c:v>
                </c:pt>
                <c:pt idx="3">
                  <c:v>令和12年</c:v>
                </c:pt>
                <c:pt idx="4">
                  <c:v>令和17年</c:v>
                </c:pt>
                <c:pt idx="5">
                  <c:v>令和22年</c:v>
                </c:pt>
                <c:pt idx="6">
                  <c:v>令和27年</c:v>
                </c:pt>
              </c:strCache>
            </c:strRef>
          </c:cat>
          <c:val>
            <c:numRef>
              <c:f>output!$O$11:$U$11</c:f>
              <c:numCache>
                <c:formatCode>#,##0_);[Red]\(#,##0\)</c:formatCode>
                <c:ptCount val="7"/>
                <c:pt idx="0">
                  <c:v>389514</c:v>
                </c:pt>
                <c:pt idx="1">
                  <c:v>385825</c:v>
                </c:pt>
                <c:pt idx="2">
                  <c:v>378491</c:v>
                </c:pt>
                <c:pt idx="3">
                  <c:v>368606</c:v>
                </c:pt>
                <c:pt idx="4">
                  <c:v>356708</c:v>
                </c:pt>
                <c:pt idx="5">
                  <c:v>343057</c:v>
                </c:pt>
                <c:pt idx="6">
                  <c:v>328352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E6-46CB-9020-BA6A6322663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73004168"/>
        <c:axId val="672998920"/>
      </c:lineChart>
      <c:catAx>
        <c:axId val="673004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72998920"/>
        <c:crosses val="autoZero"/>
        <c:auto val="1"/>
        <c:lblAlgn val="ctr"/>
        <c:lblOffset val="100"/>
        <c:noMultiLvlLbl val="0"/>
      </c:catAx>
      <c:valAx>
        <c:axId val="672998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人数</a:t>
                </a:r>
                <a:r>
                  <a:rPr lang="en-US" altLang="ja-JP"/>
                  <a:t>(</a:t>
                </a:r>
                <a:r>
                  <a:rPr lang="ja-JP" altLang="en-US"/>
                  <a:t>人</a:t>
                </a:r>
                <a:r>
                  <a:rPr lang="en-US" altLang="ja-JP"/>
                  <a:t>)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73004168"/>
        <c:crosses val="autoZero"/>
        <c:crossBetween val="between"/>
      </c:valAx>
      <c:spPr>
        <a:noFill/>
        <a:ln>
          <a:solidFill>
            <a:schemeClr val="bg1">
              <a:lumMod val="6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output!$M$5</c:f>
              <c:strCache>
                <c:ptCount val="1"/>
                <c:pt idx="0">
                  <c:v>年少人口</c:v>
                </c:pt>
              </c:strCache>
            </c:strRef>
          </c:tx>
          <c:spPr>
            <a:gradFill flip="none" rotWithShape="1">
              <a:gsLst>
                <a:gs pos="0">
                  <a:schemeClr val="accent5">
                    <a:lumMod val="89000"/>
                  </a:schemeClr>
                </a:gs>
                <a:gs pos="23000">
                  <a:schemeClr val="accent5">
                    <a:lumMod val="89000"/>
                  </a:schemeClr>
                </a:gs>
                <a:gs pos="69000">
                  <a:schemeClr val="accent5">
                    <a:lumMod val="75000"/>
                  </a:schemeClr>
                </a:gs>
                <a:gs pos="97000">
                  <a:schemeClr val="accent5">
                    <a:lumMod val="70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output!$O$3:$U$3</c:f>
              <c:strCache>
                <c:ptCount val="7"/>
                <c:pt idx="0">
                  <c:v>平成27年</c:v>
                </c:pt>
                <c:pt idx="1">
                  <c:v>令和2年</c:v>
                </c:pt>
                <c:pt idx="2">
                  <c:v>令和7年</c:v>
                </c:pt>
                <c:pt idx="3">
                  <c:v>令和12年</c:v>
                </c:pt>
                <c:pt idx="4">
                  <c:v>令和17年</c:v>
                </c:pt>
                <c:pt idx="5">
                  <c:v>令和22年</c:v>
                </c:pt>
                <c:pt idx="6">
                  <c:v>令和27年</c:v>
                </c:pt>
              </c:strCache>
            </c:strRef>
          </c:cat>
          <c:val>
            <c:numRef>
              <c:f>output!$O$6:$U$6</c:f>
              <c:numCache>
                <c:formatCode>0.0_ </c:formatCode>
                <c:ptCount val="7"/>
                <c:pt idx="0">
                  <c:v>13.016220212880667</c:v>
                </c:pt>
                <c:pt idx="1">
                  <c:v>12.53521674334219</c:v>
                </c:pt>
                <c:pt idx="2">
                  <c:v>12.007947348814106</c:v>
                </c:pt>
                <c:pt idx="3">
                  <c:v>11.575503383016011</c:v>
                </c:pt>
                <c:pt idx="4">
                  <c:v>11.262433138589547</c:v>
                </c:pt>
                <c:pt idx="5">
                  <c:v>11.161701991214288</c:v>
                </c:pt>
                <c:pt idx="6">
                  <c:v>11.043940649059545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3C-4D61-AFAD-14DE06E427C1}"/>
            </c:ext>
          </c:extLst>
        </c:ser>
        <c:ser>
          <c:idx val="1"/>
          <c:order val="1"/>
          <c:tx>
            <c:strRef>
              <c:f>output!$M$7</c:f>
              <c:strCache>
                <c:ptCount val="1"/>
                <c:pt idx="0">
                  <c:v>生産年齢人口</c:v>
                </c:pt>
              </c:strCache>
            </c:strRef>
          </c:tx>
          <c:spPr>
            <a:gradFill flip="none" rotWithShape="1">
              <a:gsLst>
                <a:gs pos="0">
                  <a:schemeClr val="accent2">
                    <a:lumMod val="89000"/>
                  </a:schemeClr>
                </a:gs>
                <a:gs pos="23000">
                  <a:schemeClr val="accent2">
                    <a:lumMod val="89000"/>
                  </a:schemeClr>
                </a:gs>
                <a:gs pos="69000">
                  <a:schemeClr val="accent2">
                    <a:lumMod val="75000"/>
                  </a:schemeClr>
                </a:gs>
                <a:gs pos="97000">
                  <a:schemeClr val="accent2">
                    <a:lumMod val="70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output!$O$3:$U$3</c:f>
              <c:strCache>
                <c:ptCount val="7"/>
                <c:pt idx="0">
                  <c:v>平成27年</c:v>
                </c:pt>
                <c:pt idx="1">
                  <c:v>令和2年</c:v>
                </c:pt>
                <c:pt idx="2">
                  <c:v>令和7年</c:v>
                </c:pt>
                <c:pt idx="3">
                  <c:v>令和12年</c:v>
                </c:pt>
                <c:pt idx="4">
                  <c:v>令和17年</c:v>
                </c:pt>
                <c:pt idx="5">
                  <c:v>令和22年</c:v>
                </c:pt>
                <c:pt idx="6">
                  <c:v>令和27年</c:v>
                </c:pt>
              </c:strCache>
            </c:strRef>
          </c:cat>
          <c:val>
            <c:numRef>
              <c:f>output!$O$8:$U$8</c:f>
              <c:numCache>
                <c:formatCode>0.0_ </c:formatCode>
                <c:ptCount val="7"/>
                <c:pt idx="0">
                  <c:v>63.086821012851914</c:v>
                </c:pt>
                <c:pt idx="1">
                  <c:v>60.906369468023072</c:v>
                </c:pt>
                <c:pt idx="2">
                  <c:v>60.054796547341951</c:v>
                </c:pt>
                <c:pt idx="3">
                  <c:v>59.350363260500373</c:v>
                </c:pt>
                <c:pt idx="4">
                  <c:v>58.172230507866374</c:v>
                </c:pt>
                <c:pt idx="5">
                  <c:v>55.771198372282157</c:v>
                </c:pt>
                <c:pt idx="6">
                  <c:v>54.036521781502778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3C-4D61-AFAD-14DE06E427C1}"/>
            </c:ext>
          </c:extLst>
        </c:ser>
        <c:ser>
          <c:idx val="2"/>
          <c:order val="2"/>
          <c:tx>
            <c:strRef>
              <c:f>output!$M$9</c:f>
              <c:strCache>
                <c:ptCount val="1"/>
                <c:pt idx="0">
                  <c:v>老年人口</c:v>
                </c:pt>
              </c:strCache>
            </c:strRef>
          </c:tx>
          <c:spPr>
            <a:gradFill>
              <a:gsLst>
                <a:gs pos="0">
                  <a:schemeClr val="accent4">
                    <a:lumMod val="89000"/>
                  </a:schemeClr>
                </a:gs>
                <a:gs pos="23000">
                  <a:schemeClr val="accent4">
                    <a:lumMod val="89000"/>
                  </a:schemeClr>
                </a:gs>
                <a:gs pos="69000">
                  <a:schemeClr val="accent4">
                    <a:lumMod val="75000"/>
                  </a:schemeClr>
                </a:gs>
                <a:gs pos="97000">
                  <a:schemeClr val="accent4">
                    <a:lumMod val="70000"/>
                  </a:schemeClr>
                </a:gs>
              </a:gsLst>
              <a:path path="circle">
                <a:fillToRect l="50000" t="50000" r="50000" b="50000"/>
              </a:path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output!$O$3:$U$3</c:f>
              <c:strCache>
                <c:ptCount val="7"/>
                <c:pt idx="0">
                  <c:v>平成27年</c:v>
                </c:pt>
                <c:pt idx="1">
                  <c:v>令和2年</c:v>
                </c:pt>
                <c:pt idx="2">
                  <c:v>令和7年</c:v>
                </c:pt>
                <c:pt idx="3">
                  <c:v>令和12年</c:v>
                </c:pt>
                <c:pt idx="4">
                  <c:v>令和17年</c:v>
                </c:pt>
                <c:pt idx="5">
                  <c:v>令和22年</c:v>
                </c:pt>
                <c:pt idx="6">
                  <c:v>令和27年</c:v>
                </c:pt>
              </c:strCache>
            </c:strRef>
          </c:cat>
          <c:val>
            <c:numRef>
              <c:f>output!$O$10:$U$10</c:f>
              <c:numCache>
                <c:formatCode>0.0_ </c:formatCode>
                <c:ptCount val="7"/>
                <c:pt idx="0">
                  <c:v>23.896958774267421</c:v>
                </c:pt>
                <c:pt idx="1">
                  <c:v>26.558413788634745</c:v>
                </c:pt>
                <c:pt idx="2">
                  <c:v>27.93725610384395</c:v>
                </c:pt>
                <c:pt idx="3">
                  <c:v>29.074133356483618</c:v>
                </c:pt>
                <c:pt idx="4">
                  <c:v>30.565336353544076</c:v>
                </c:pt>
                <c:pt idx="5">
                  <c:v>33.067099636503556</c:v>
                </c:pt>
                <c:pt idx="6">
                  <c:v>34.919537569437672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3C-4D61-AFAD-14DE06E427C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12461184"/>
        <c:axId val="712463808"/>
      </c:barChart>
      <c:catAx>
        <c:axId val="712461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2463808"/>
        <c:crosses val="autoZero"/>
        <c:auto val="1"/>
        <c:lblAlgn val="ctr"/>
        <c:lblOffset val="100"/>
        <c:noMultiLvlLbl val="0"/>
      </c:catAx>
      <c:valAx>
        <c:axId val="71246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2461184"/>
        <c:crosses val="autoZero"/>
        <c:crossBetween val="between"/>
      </c:valAx>
      <c:spPr>
        <a:noFill/>
        <a:ln>
          <a:solidFill>
            <a:schemeClr val="bg1">
              <a:lumMod val="6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output!$X$5</c:f>
              <c:strCache>
                <c:ptCount val="1"/>
                <c:pt idx="0">
                  <c:v>年少人口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output!$O$3:$U$3</c:f>
              <c:strCache>
                <c:ptCount val="7"/>
                <c:pt idx="0">
                  <c:v>平成27年</c:v>
                </c:pt>
                <c:pt idx="1">
                  <c:v>令和2年</c:v>
                </c:pt>
                <c:pt idx="2">
                  <c:v>令和7年</c:v>
                </c:pt>
                <c:pt idx="3">
                  <c:v>令和12年</c:v>
                </c:pt>
                <c:pt idx="4">
                  <c:v>令和17年</c:v>
                </c:pt>
                <c:pt idx="5">
                  <c:v>令和22年</c:v>
                </c:pt>
                <c:pt idx="6">
                  <c:v>令和27年</c:v>
                </c:pt>
              </c:strCache>
            </c:strRef>
          </c:cat>
          <c:val>
            <c:numRef>
              <c:f>output!$Z$5:$AF$5</c:f>
              <c:numCache>
                <c:formatCode>#,##0_);[Red]\(#,##0\)</c:formatCode>
                <c:ptCount val="7"/>
                <c:pt idx="0">
                  <c:v>48396</c:v>
                </c:pt>
                <c:pt idx="1">
                  <c:v>46290</c:v>
                </c:pt>
                <c:pt idx="2">
                  <c:v>43409</c:v>
                </c:pt>
                <c:pt idx="3">
                  <c:v>40710</c:v>
                </c:pt>
                <c:pt idx="4">
                  <c:v>38329</c:v>
                </c:pt>
                <c:pt idx="5">
                  <c:v>36532</c:v>
                </c:pt>
                <c:pt idx="6">
                  <c:v>34597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19-4641-8E7B-1FD5E51F4E07}"/>
            </c:ext>
          </c:extLst>
        </c:ser>
        <c:ser>
          <c:idx val="1"/>
          <c:order val="1"/>
          <c:tx>
            <c:strRef>
              <c:f>output!$X$7</c:f>
              <c:strCache>
                <c:ptCount val="1"/>
                <c:pt idx="0">
                  <c:v>生産年齢人口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output!$O$3:$U$3</c:f>
              <c:strCache>
                <c:ptCount val="7"/>
                <c:pt idx="0">
                  <c:v>平成27年</c:v>
                </c:pt>
                <c:pt idx="1">
                  <c:v>令和2年</c:v>
                </c:pt>
                <c:pt idx="2">
                  <c:v>令和7年</c:v>
                </c:pt>
                <c:pt idx="3">
                  <c:v>令和12年</c:v>
                </c:pt>
                <c:pt idx="4">
                  <c:v>令和17年</c:v>
                </c:pt>
                <c:pt idx="5">
                  <c:v>令和22年</c:v>
                </c:pt>
                <c:pt idx="6">
                  <c:v>令和27年</c:v>
                </c:pt>
              </c:strCache>
            </c:strRef>
          </c:cat>
          <c:val>
            <c:numRef>
              <c:f>output!$Z$7:$AF$7</c:f>
              <c:numCache>
                <c:formatCode>#,##0_);[Red]\(#,##0\)</c:formatCode>
                <c:ptCount val="7"/>
                <c:pt idx="0">
                  <c:v>246678</c:v>
                </c:pt>
                <c:pt idx="1">
                  <c:v>234396</c:v>
                </c:pt>
                <c:pt idx="2">
                  <c:v>226121</c:v>
                </c:pt>
                <c:pt idx="3">
                  <c:v>216814</c:v>
                </c:pt>
                <c:pt idx="4">
                  <c:v>205250</c:v>
                </c:pt>
                <c:pt idx="5">
                  <c:v>188676</c:v>
                </c:pt>
                <c:pt idx="6">
                  <c:v>174800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19-4641-8E7B-1FD5E51F4E07}"/>
            </c:ext>
          </c:extLst>
        </c:ser>
        <c:ser>
          <c:idx val="2"/>
          <c:order val="2"/>
          <c:tx>
            <c:strRef>
              <c:f>output!$X$9</c:f>
              <c:strCache>
                <c:ptCount val="1"/>
                <c:pt idx="0">
                  <c:v>老年人口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output!$O$3:$U$3</c:f>
              <c:strCache>
                <c:ptCount val="7"/>
                <c:pt idx="0">
                  <c:v>平成27年</c:v>
                </c:pt>
                <c:pt idx="1">
                  <c:v>令和2年</c:v>
                </c:pt>
                <c:pt idx="2">
                  <c:v>令和7年</c:v>
                </c:pt>
                <c:pt idx="3">
                  <c:v>令和12年</c:v>
                </c:pt>
                <c:pt idx="4">
                  <c:v>令和17年</c:v>
                </c:pt>
                <c:pt idx="5">
                  <c:v>令和22年</c:v>
                </c:pt>
                <c:pt idx="6">
                  <c:v>令和27年</c:v>
                </c:pt>
              </c:strCache>
            </c:strRef>
          </c:cat>
          <c:val>
            <c:numRef>
              <c:f>output!$Z$9:$AF$9</c:f>
              <c:numCache>
                <c:formatCode>#,##0_);[Red]\(#,##0\)</c:formatCode>
                <c:ptCount val="7"/>
                <c:pt idx="0">
                  <c:v>125571</c:v>
                </c:pt>
                <c:pt idx="1">
                  <c:v>136383</c:v>
                </c:pt>
                <c:pt idx="2">
                  <c:v>139927</c:v>
                </c:pt>
                <c:pt idx="3">
                  <c:v>141455</c:v>
                </c:pt>
                <c:pt idx="4">
                  <c:v>143165</c:v>
                </c:pt>
                <c:pt idx="5">
                  <c:v>146883</c:v>
                </c:pt>
                <c:pt idx="6">
                  <c:v>146185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19-4641-8E7B-1FD5E51F4E07}"/>
            </c:ext>
          </c:extLst>
        </c:ser>
        <c:ser>
          <c:idx val="3"/>
          <c:order val="3"/>
          <c:tx>
            <c:strRef>
              <c:f>output!$X$11</c:f>
              <c:strCache>
                <c:ptCount val="1"/>
                <c:pt idx="0">
                  <c:v>合計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output!$O$3:$U$3</c:f>
              <c:strCache>
                <c:ptCount val="7"/>
                <c:pt idx="0">
                  <c:v>平成27年</c:v>
                </c:pt>
                <c:pt idx="1">
                  <c:v>令和2年</c:v>
                </c:pt>
                <c:pt idx="2">
                  <c:v>令和7年</c:v>
                </c:pt>
                <c:pt idx="3">
                  <c:v>令和12年</c:v>
                </c:pt>
                <c:pt idx="4">
                  <c:v>令和17年</c:v>
                </c:pt>
                <c:pt idx="5">
                  <c:v>令和22年</c:v>
                </c:pt>
                <c:pt idx="6">
                  <c:v>令和27年</c:v>
                </c:pt>
              </c:strCache>
            </c:strRef>
          </c:cat>
          <c:val>
            <c:numRef>
              <c:f>output!$Z$11:$AF$11</c:f>
              <c:numCache>
                <c:formatCode>#,##0_);[Red]\(#,##0\)</c:formatCode>
                <c:ptCount val="7"/>
                <c:pt idx="0">
                  <c:v>420645</c:v>
                </c:pt>
                <c:pt idx="1">
                  <c:v>417069</c:v>
                </c:pt>
                <c:pt idx="2">
                  <c:v>409457</c:v>
                </c:pt>
                <c:pt idx="3">
                  <c:v>398979</c:v>
                </c:pt>
                <c:pt idx="4">
                  <c:v>386744</c:v>
                </c:pt>
                <c:pt idx="5">
                  <c:v>372091</c:v>
                </c:pt>
                <c:pt idx="6">
                  <c:v>355582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19-4641-8E7B-1FD5E51F4E0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73004168"/>
        <c:axId val="672998920"/>
      </c:lineChart>
      <c:catAx>
        <c:axId val="673004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72998920"/>
        <c:crosses val="autoZero"/>
        <c:auto val="1"/>
        <c:lblAlgn val="ctr"/>
        <c:lblOffset val="100"/>
        <c:noMultiLvlLbl val="0"/>
      </c:catAx>
      <c:valAx>
        <c:axId val="672998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人数</a:t>
                </a:r>
                <a:r>
                  <a:rPr lang="en-US" altLang="ja-JP"/>
                  <a:t>(</a:t>
                </a:r>
                <a:r>
                  <a:rPr lang="ja-JP" altLang="en-US"/>
                  <a:t>人</a:t>
                </a:r>
                <a:r>
                  <a:rPr lang="en-US" altLang="ja-JP"/>
                  <a:t>)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73004168"/>
        <c:crosses val="autoZero"/>
        <c:crossBetween val="between"/>
      </c:valAx>
      <c:spPr>
        <a:noFill/>
        <a:ln>
          <a:solidFill>
            <a:schemeClr val="bg1">
              <a:lumMod val="6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output!$X$5</c:f>
              <c:strCache>
                <c:ptCount val="1"/>
                <c:pt idx="0">
                  <c:v>年少人口</c:v>
                </c:pt>
              </c:strCache>
            </c:strRef>
          </c:tx>
          <c:spPr>
            <a:gradFill flip="none" rotWithShape="1">
              <a:gsLst>
                <a:gs pos="0">
                  <a:schemeClr val="accent5">
                    <a:lumMod val="89000"/>
                  </a:schemeClr>
                </a:gs>
                <a:gs pos="23000">
                  <a:schemeClr val="accent5">
                    <a:lumMod val="89000"/>
                  </a:schemeClr>
                </a:gs>
                <a:gs pos="69000">
                  <a:schemeClr val="accent5">
                    <a:lumMod val="75000"/>
                  </a:schemeClr>
                </a:gs>
                <a:gs pos="97000">
                  <a:schemeClr val="accent5">
                    <a:lumMod val="70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output!$Z$3:$AF$3</c:f>
              <c:strCache>
                <c:ptCount val="7"/>
                <c:pt idx="0">
                  <c:v>平成27年</c:v>
                </c:pt>
                <c:pt idx="1">
                  <c:v>令和2年</c:v>
                </c:pt>
                <c:pt idx="2">
                  <c:v>令和7年</c:v>
                </c:pt>
                <c:pt idx="3">
                  <c:v>令和12年</c:v>
                </c:pt>
                <c:pt idx="4">
                  <c:v>令和17年</c:v>
                </c:pt>
                <c:pt idx="5">
                  <c:v>令和22年</c:v>
                </c:pt>
                <c:pt idx="6">
                  <c:v>令和27年</c:v>
                </c:pt>
              </c:strCache>
            </c:strRef>
          </c:cat>
          <c:val>
            <c:numRef>
              <c:f>output!$Z$6:$AF$6</c:f>
              <c:numCache>
                <c:formatCode>0.0_ </c:formatCode>
                <c:ptCount val="7"/>
                <c:pt idx="0">
                  <c:v>11.505188460578397</c:v>
                </c:pt>
                <c:pt idx="1">
                  <c:v>11.098882918653748</c:v>
                </c:pt>
                <c:pt idx="2">
                  <c:v>10.601601633382748</c:v>
                </c:pt>
                <c:pt idx="3">
                  <c:v>10.203544547457385</c:v>
                </c:pt>
                <c:pt idx="4">
                  <c:v>9.9106902757379558</c:v>
                </c:pt>
                <c:pt idx="5">
                  <c:v>9.8180283855293471</c:v>
                </c:pt>
                <c:pt idx="6">
                  <c:v>9.729682604856265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CE-465E-995F-4ED09150DDC5}"/>
            </c:ext>
          </c:extLst>
        </c:ser>
        <c:ser>
          <c:idx val="1"/>
          <c:order val="1"/>
          <c:tx>
            <c:strRef>
              <c:f>output!$X$7</c:f>
              <c:strCache>
                <c:ptCount val="1"/>
                <c:pt idx="0">
                  <c:v>生産年齢人口</c:v>
                </c:pt>
              </c:strCache>
            </c:strRef>
          </c:tx>
          <c:spPr>
            <a:gradFill flip="none" rotWithShape="1">
              <a:gsLst>
                <a:gs pos="0">
                  <a:schemeClr val="accent2">
                    <a:lumMod val="89000"/>
                  </a:schemeClr>
                </a:gs>
                <a:gs pos="23000">
                  <a:schemeClr val="accent2">
                    <a:lumMod val="89000"/>
                  </a:schemeClr>
                </a:gs>
                <a:gs pos="69000">
                  <a:schemeClr val="accent2">
                    <a:lumMod val="75000"/>
                  </a:schemeClr>
                </a:gs>
                <a:gs pos="97000">
                  <a:schemeClr val="accent2">
                    <a:lumMod val="70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output!$Z$3:$AF$3</c:f>
              <c:strCache>
                <c:ptCount val="7"/>
                <c:pt idx="0">
                  <c:v>平成27年</c:v>
                </c:pt>
                <c:pt idx="1">
                  <c:v>令和2年</c:v>
                </c:pt>
                <c:pt idx="2">
                  <c:v>令和7年</c:v>
                </c:pt>
                <c:pt idx="3">
                  <c:v>令和12年</c:v>
                </c:pt>
                <c:pt idx="4">
                  <c:v>令和17年</c:v>
                </c:pt>
                <c:pt idx="5">
                  <c:v>令和22年</c:v>
                </c:pt>
                <c:pt idx="6">
                  <c:v>令和27年</c:v>
                </c:pt>
              </c:strCache>
            </c:strRef>
          </c:cat>
          <c:val>
            <c:numRef>
              <c:f>output!$Z$8:$AF$8</c:f>
              <c:numCache>
                <c:formatCode>0.0_ </c:formatCode>
                <c:ptCount val="7"/>
                <c:pt idx="0">
                  <c:v>58.642798559355278</c:v>
                </c:pt>
                <c:pt idx="1">
                  <c:v>56.200772534041135</c:v>
                </c:pt>
                <c:pt idx="2">
                  <c:v>55.22460233919557</c:v>
                </c:pt>
                <c:pt idx="3">
                  <c:v>54.342208487163489</c:v>
                </c:pt>
                <c:pt idx="4">
                  <c:v>53.071282295265085</c:v>
                </c:pt>
                <c:pt idx="5">
                  <c:v>50.706950719044528</c:v>
                </c:pt>
                <c:pt idx="6">
                  <c:v>49.158843810991556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CE-465E-995F-4ED09150DDC5}"/>
            </c:ext>
          </c:extLst>
        </c:ser>
        <c:ser>
          <c:idx val="2"/>
          <c:order val="2"/>
          <c:tx>
            <c:strRef>
              <c:f>output!$X$9</c:f>
              <c:strCache>
                <c:ptCount val="1"/>
                <c:pt idx="0">
                  <c:v>老年人口</c:v>
                </c:pt>
              </c:strCache>
            </c:strRef>
          </c:tx>
          <c:spPr>
            <a:gradFill flip="none" rotWithShape="1">
              <a:gsLst>
                <a:gs pos="0">
                  <a:schemeClr val="accent4">
                    <a:lumMod val="89000"/>
                  </a:schemeClr>
                </a:gs>
                <a:gs pos="23000">
                  <a:schemeClr val="accent4">
                    <a:lumMod val="89000"/>
                  </a:schemeClr>
                </a:gs>
                <a:gs pos="69000">
                  <a:schemeClr val="accent4">
                    <a:lumMod val="75000"/>
                  </a:schemeClr>
                </a:gs>
                <a:gs pos="97000">
                  <a:schemeClr val="accent4">
                    <a:lumMod val="70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output!$Z$3:$AF$3</c:f>
              <c:strCache>
                <c:ptCount val="7"/>
                <c:pt idx="0">
                  <c:v>平成27年</c:v>
                </c:pt>
                <c:pt idx="1">
                  <c:v>令和2年</c:v>
                </c:pt>
                <c:pt idx="2">
                  <c:v>令和7年</c:v>
                </c:pt>
                <c:pt idx="3">
                  <c:v>令和12年</c:v>
                </c:pt>
                <c:pt idx="4">
                  <c:v>令和17年</c:v>
                </c:pt>
                <c:pt idx="5">
                  <c:v>令和22年</c:v>
                </c:pt>
                <c:pt idx="6">
                  <c:v>令和27年</c:v>
                </c:pt>
              </c:strCache>
            </c:strRef>
          </c:cat>
          <c:val>
            <c:numRef>
              <c:f>output!$Z$10:$AF$10</c:f>
              <c:numCache>
                <c:formatCode>0.0_ </c:formatCode>
                <c:ptCount val="7"/>
                <c:pt idx="0">
                  <c:v>29.852012980066327</c:v>
                </c:pt>
                <c:pt idx="1">
                  <c:v>32.700344547305122</c:v>
                </c:pt>
                <c:pt idx="2">
                  <c:v>34.17379602742168</c:v>
                </c:pt>
                <c:pt idx="3">
                  <c:v>35.454246965379134</c:v>
                </c:pt>
                <c:pt idx="4">
                  <c:v>37.018027428996959</c:v>
                </c:pt>
                <c:pt idx="5">
                  <c:v>39.475020895426113</c:v>
                </c:pt>
                <c:pt idx="6">
                  <c:v>41.111473584152179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CE-465E-995F-4ED09150DDC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12461184"/>
        <c:axId val="712463808"/>
      </c:barChart>
      <c:catAx>
        <c:axId val="712461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2463808"/>
        <c:crosses val="autoZero"/>
        <c:auto val="1"/>
        <c:lblAlgn val="ctr"/>
        <c:lblOffset val="100"/>
        <c:noMultiLvlLbl val="0"/>
      </c:catAx>
      <c:valAx>
        <c:axId val="71246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2461184"/>
        <c:crosses val="autoZero"/>
        <c:crossBetween val="between"/>
      </c:valAx>
      <c:spPr>
        <a:noFill/>
        <a:ln>
          <a:solidFill>
            <a:schemeClr val="bg1">
              <a:lumMod val="6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5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End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10</xdr:col>
      <xdr:colOff>0</xdr:colOff>
      <xdr:row>25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26</xdr:row>
      <xdr:rowOff>9525</xdr:rowOff>
    </xdr:from>
    <xdr:to>
      <xdr:col>10</xdr:col>
      <xdr:colOff>0</xdr:colOff>
      <xdr:row>38</xdr:row>
      <xdr:rowOff>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13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26</xdr:row>
      <xdr:rowOff>9525</xdr:rowOff>
    </xdr:from>
    <xdr:to>
      <xdr:col>21</xdr:col>
      <xdr:colOff>0</xdr:colOff>
      <xdr:row>38</xdr:row>
      <xdr:rowOff>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0</xdr:colOff>
      <xdr:row>13</xdr:row>
      <xdr:rowOff>0</xdr:rowOff>
    </xdr:from>
    <xdr:to>
      <xdr:col>32</xdr:col>
      <xdr:colOff>0</xdr:colOff>
      <xdr:row>25</xdr:row>
      <xdr:rowOff>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0</xdr:colOff>
      <xdr:row>26</xdr:row>
      <xdr:rowOff>9525</xdr:rowOff>
    </xdr:from>
    <xdr:to>
      <xdr:col>32</xdr:col>
      <xdr:colOff>0</xdr:colOff>
      <xdr:row>38</xdr:row>
      <xdr:rowOff>0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419100</xdr:colOff>
      <xdr:row>9</xdr:row>
      <xdr:rowOff>0</xdr:rowOff>
    </xdr:from>
    <xdr:to>
      <xdr:col>3</xdr:col>
      <xdr:colOff>285750</xdr:colOff>
      <xdr:row>9</xdr:row>
      <xdr:rowOff>219075</xdr:rowOff>
    </xdr:to>
    <xdr:sp macro="" textlink="">
      <xdr:nvSpPr>
        <xdr:cNvPr id="2" name="矢印: 下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790700" y="1905000"/>
          <a:ext cx="552450" cy="2190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9</xdr:col>
      <xdr:colOff>638175</xdr:colOff>
      <xdr:row>70</xdr:row>
      <xdr:rowOff>180975</xdr:rowOff>
    </xdr:from>
    <xdr:to>
      <xdr:col>16</xdr:col>
      <xdr:colOff>572161</xdr:colOff>
      <xdr:row>78</xdr:row>
      <xdr:rowOff>66925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0375" y="16849725"/>
          <a:ext cx="4734586" cy="17909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77</xdr:row>
      <xdr:rowOff>0</xdr:rowOff>
    </xdr:from>
    <xdr:to>
      <xdr:col>3</xdr:col>
      <xdr:colOff>552450</xdr:colOff>
      <xdr:row>77</xdr:row>
      <xdr:rowOff>219075</xdr:rowOff>
    </xdr:to>
    <xdr:sp macro="" textlink="">
      <xdr:nvSpPr>
        <xdr:cNvPr id="6" name="矢印: 下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057400" y="18335625"/>
          <a:ext cx="552450" cy="2190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18</xdr:col>
      <xdr:colOff>468417</xdr:colOff>
      <xdr:row>97</xdr:row>
      <xdr:rowOff>162313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" y="20478750"/>
          <a:ext cx="12127017" cy="2781688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102</xdr:row>
      <xdr:rowOff>0</xdr:rowOff>
    </xdr:from>
    <xdr:to>
      <xdr:col>3</xdr:col>
      <xdr:colOff>552450</xdr:colOff>
      <xdr:row>102</xdr:row>
      <xdr:rowOff>219075</xdr:rowOff>
    </xdr:to>
    <xdr:sp macro="" textlink="">
      <xdr:nvSpPr>
        <xdr:cNvPr id="8" name="矢印: 下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2057400" y="24288750"/>
          <a:ext cx="552450" cy="2190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</xdr:col>
      <xdr:colOff>0</xdr:colOff>
      <xdr:row>122</xdr:row>
      <xdr:rowOff>0</xdr:rowOff>
    </xdr:from>
    <xdr:to>
      <xdr:col>10</xdr:col>
      <xdr:colOff>381819</xdr:colOff>
      <xdr:row>127</xdr:row>
      <xdr:rowOff>47798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71600" y="29051250"/>
          <a:ext cx="5868219" cy="123842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134</xdr:row>
      <xdr:rowOff>0</xdr:rowOff>
    </xdr:from>
    <xdr:to>
      <xdr:col>3</xdr:col>
      <xdr:colOff>552450</xdr:colOff>
      <xdr:row>134</xdr:row>
      <xdr:rowOff>219075</xdr:rowOff>
    </xdr:to>
    <xdr:sp macro="" textlink="">
      <xdr:nvSpPr>
        <xdr:cNvPr id="10" name="矢印: 下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057400" y="24288750"/>
          <a:ext cx="552450" cy="2190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7</xdr:row>
      <xdr:rowOff>0</xdr:rowOff>
    </xdr:from>
    <xdr:to>
      <xdr:col>15</xdr:col>
      <xdr:colOff>305461</xdr:colOff>
      <xdr:row>14</xdr:row>
      <xdr:rowOff>124075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53525" y="1666875"/>
          <a:ext cx="4734586" cy="179095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17</xdr:row>
      <xdr:rowOff>0</xdr:rowOff>
    </xdr:from>
    <xdr:to>
      <xdr:col>16</xdr:col>
      <xdr:colOff>257953</xdr:colOff>
      <xdr:row>20</xdr:row>
      <xdr:rowOff>9626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3525" y="3810000"/>
          <a:ext cx="5572903" cy="724001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23</xdr:row>
      <xdr:rowOff>0</xdr:rowOff>
    </xdr:from>
    <xdr:to>
      <xdr:col>16</xdr:col>
      <xdr:colOff>553269</xdr:colOff>
      <xdr:row>28</xdr:row>
      <xdr:rowOff>47798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53525" y="5238750"/>
          <a:ext cx="5868219" cy="1238423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7</xdr:row>
      <xdr:rowOff>0</xdr:rowOff>
    </xdr:from>
    <xdr:to>
      <xdr:col>22</xdr:col>
      <xdr:colOff>305584</xdr:colOff>
      <xdr:row>11</xdr:row>
      <xdr:rowOff>133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68475" y="1666875"/>
          <a:ext cx="5620534" cy="952633"/>
        </a:xfrm>
        <a:prstGeom prst="rect">
          <a:avLst/>
        </a:prstGeom>
      </xdr:spPr>
    </xdr:pic>
    <xdr:clientData/>
  </xdr:twoCellAnchor>
  <xdr:twoCellAnchor editAs="oneCell">
    <xdr:from>
      <xdr:col>16</xdr:col>
      <xdr:colOff>142875</xdr:colOff>
      <xdr:row>12</xdr:row>
      <xdr:rowOff>209550</xdr:rowOff>
    </xdr:from>
    <xdr:to>
      <xdr:col>30</xdr:col>
      <xdr:colOff>268392</xdr:colOff>
      <xdr:row>24</xdr:row>
      <xdr:rowOff>133738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611350" y="3067050"/>
          <a:ext cx="12127017" cy="278168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0320_15.csv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katei_suvr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katei_nmigr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katei_cw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0320_15"/>
    </sheetNames>
    <sheetDataSet>
      <sheetData sheetId="0">
        <row r="365">
          <cell r="B365">
            <v>201</v>
          </cell>
          <cell r="C365">
            <v>15000</v>
          </cell>
          <cell r="D365" t="str">
            <v>a</v>
          </cell>
          <cell r="G365" t="str">
            <v>新潟県</v>
          </cell>
          <cell r="DF365">
            <v>5825</v>
          </cell>
          <cell r="DI365">
            <v>42926</v>
          </cell>
          <cell r="DJ365">
            <v>47347</v>
          </cell>
          <cell r="DK365">
            <v>51193</v>
          </cell>
          <cell r="DL365">
            <v>54734</v>
          </cell>
          <cell r="DM365">
            <v>48746</v>
          </cell>
          <cell r="DN365">
            <v>53342</v>
          </cell>
          <cell r="DO365">
            <v>61358</v>
          </cell>
          <cell r="DP365">
            <v>72646</v>
          </cell>
          <cell r="DQ365">
            <v>80098</v>
          </cell>
          <cell r="DR365">
            <v>72753</v>
          </cell>
          <cell r="DS365">
            <v>70738</v>
          </cell>
          <cell r="DT365">
            <v>74962</v>
          </cell>
          <cell r="DU365">
            <v>87116</v>
          </cell>
          <cell r="DV365">
            <v>92154</v>
          </cell>
          <cell r="DW365">
            <v>65339</v>
          </cell>
          <cell r="DX365">
            <v>55783</v>
          </cell>
          <cell r="DY365">
            <v>43015</v>
          </cell>
          <cell r="DZ365">
            <v>25220</v>
          </cell>
          <cell r="EA365">
            <v>8177</v>
          </cell>
          <cell r="EB365">
            <v>1719</v>
          </cell>
          <cell r="EC365">
            <v>222</v>
          </cell>
        </row>
        <row r="366">
          <cell r="B366">
            <v>201</v>
          </cell>
          <cell r="C366">
            <v>15001</v>
          </cell>
          <cell r="D366" t="str">
            <v>b</v>
          </cell>
          <cell r="G366" t="str">
            <v>市部</v>
          </cell>
          <cell r="DF366">
            <v>5756</v>
          </cell>
          <cell r="DI366">
            <v>41592</v>
          </cell>
          <cell r="DJ366">
            <v>45828</v>
          </cell>
          <cell r="DK366">
            <v>49464</v>
          </cell>
          <cell r="DL366">
            <v>52775</v>
          </cell>
          <cell r="DM366">
            <v>47240</v>
          </cell>
          <cell r="DN366">
            <v>51650</v>
          </cell>
          <cell r="DO366">
            <v>59448</v>
          </cell>
          <cell r="DP366">
            <v>70460</v>
          </cell>
          <cell r="DQ366">
            <v>77643</v>
          </cell>
          <cell r="DR366">
            <v>70374</v>
          </cell>
          <cell r="DS366">
            <v>68255</v>
          </cell>
          <cell r="DT366">
            <v>72076</v>
          </cell>
          <cell r="DU366">
            <v>83710</v>
          </cell>
          <cell r="DV366">
            <v>88722</v>
          </cell>
          <cell r="DW366">
            <v>62991</v>
          </cell>
          <cell r="DX366">
            <v>53618</v>
          </cell>
          <cell r="DY366">
            <v>41247</v>
          </cell>
          <cell r="DZ366">
            <v>24059</v>
          </cell>
          <cell r="EA366">
            <v>7778</v>
          </cell>
          <cell r="EB366">
            <v>1642</v>
          </cell>
          <cell r="EC366">
            <v>207</v>
          </cell>
        </row>
        <row r="367">
          <cell r="B367">
            <v>201</v>
          </cell>
          <cell r="C367">
            <v>15002</v>
          </cell>
          <cell r="D367" t="str">
            <v>b</v>
          </cell>
          <cell r="G367" t="str">
            <v>郡部</v>
          </cell>
          <cell r="DF367">
            <v>69</v>
          </cell>
          <cell r="DI367">
            <v>1334</v>
          </cell>
          <cell r="DJ367">
            <v>1519</v>
          </cell>
          <cell r="DK367">
            <v>1729</v>
          </cell>
          <cell r="DL367">
            <v>1959</v>
          </cell>
          <cell r="DM367">
            <v>1506</v>
          </cell>
          <cell r="DN367">
            <v>1692</v>
          </cell>
          <cell r="DO367">
            <v>1910</v>
          </cell>
          <cell r="DP367">
            <v>2186</v>
          </cell>
          <cell r="DQ367">
            <v>2455</v>
          </cell>
          <cell r="DR367">
            <v>2379</v>
          </cell>
          <cell r="DS367">
            <v>2483</v>
          </cell>
          <cell r="DT367">
            <v>2886</v>
          </cell>
          <cell r="DU367">
            <v>3406</v>
          </cell>
          <cell r="DV367">
            <v>3432</v>
          </cell>
          <cell r="DW367">
            <v>2348</v>
          </cell>
          <cell r="DX367">
            <v>2165</v>
          </cell>
          <cell r="DY367">
            <v>1768</v>
          </cell>
          <cell r="DZ367">
            <v>1161</v>
          </cell>
          <cell r="EA367">
            <v>399</v>
          </cell>
          <cell r="EB367">
            <v>77</v>
          </cell>
          <cell r="EC367">
            <v>15</v>
          </cell>
        </row>
        <row r="368">
          <cell r="B368">
            <v>201</v>
          </cell>
          <cell r="C368">
            <v>15100</v>
          </cell>
          <cell r="D368">
            <v>1</v>
          </cell>
          <cell r="G368" t="str">
            <v>新潟市</v>
          </cell>
          <cell r="DF368">
            <v>3469</v>
          </cell>
          <cell r="DI368">
            <v>15779</v>
          </cell>
          <cell r="DJ368">
            <v>16782</v>
          </cell>
          <cell r="DK368">
            <v>17687</v>
          </cell>
          <cell r="DL368">
            <v>20145</v>
          </cell>
          <cell r="DM368">
            <v>19957</v>
          </cell>
          <cell r="DN368">
            <v>19728</v>
          </cell>
          <cell r="DO368">
            <v>22607</v>
          </cell>
          <cell r="DP368">
            <v>27047</v>
          </cell>
          <cell r="DQ368">
            <v>30219</v>
          </cell>
          <cell r="DR368">
            <v>26602</v>
          </cell>
          <cell r="DS368">
            <v>24540</v>
          </cell>
          <cell r="DT368">
            <v>24455</v>
          </cell>
          <cell r="DU368">
            <v>28243</v>
          </cell>
          <cell r="DV368">
            <v>30304</v>
          </cell>
          <cell r="DW368">
            <v>21683</v>
          </cell>
          <cell r="DX368">
            <v>17529</v>
          </cell>
          <cell r="DY368">
            <v>12684</v>
          </cell>
          <cell r="DZ368">
            <v>7212</v>
          </cell>
          <cell r="EA368">
            <v>2247</v>
          </cell>
          <cell r="EB368">
            <v>529</v>
          </cell>
          <cell r="EC368">
            <v>64</v>
          </cell>
        </row>
        <row r="369">
          <cell r="B369">
            <v>201</v>
          </cell>
          <cell r="C369">
            <v>15100</v>
          </cell>
          <cell r="D369">
            <v>9</v>
          </cell>
          <cell r="G369" t="str">
            <v>　　(旧 201 新潟市)</v>
          </cell>
          <cell r="DF369">
            <v>2942</v>
          </cell>
          <cell r="DI369">
            <v>9943</v>
          </cell>
          <cell r="DJ369">
            <v>10141</v>
          </cell>
          <cell r="DK369">
            <v>10544</v>
          </cell>
          <cell r="DL369">
            <v>12825</v>
          </cell>
          <cell r="DM369">
            <v>13890</v>
          </cell>
          <cell r="DN369">
            <v>12555</v>
          </cell>
          <cell r="DO369">
            <v>14142</v>
          </cell>
          <cell r="DP369">
            <v>17020</v>
          </cell>
          <cell r="DQ369">
            <v>19432</v>
          </cell>
          <cell r="DR369">
            <v>17179</v>
          </cell>
          <cell r="DS369">
            <v>15400</v>
          </cell>
          <cell r="DT369">
            <v>14449</v>
          </cell>
          <cell r="DU369">
            <v>16391</v>
          </cell>
          <cell r="DV369">
            <v>18204</v>
          </cell>
          <cell r="DW369">
            <v>13534</v>
          </cell>
          <cell r="DX369">
            <v>10685</v>
          </cell>
          <cell r="DY369">
            <v>7778</v>
          </cell>
          <cell r="DZ369">
            <v>4297</v>
          </cell>
          <cell r="EA369">
            <v>1350</v>
          </cell>
          <cell r="EB369">
            <v>322</v>
          </cell>
          <cell r="EC369">
            <v>35</v>
          </cell>
        </row>
        <row r="370">
          <cell r="B370">
            <v>201</v>
          </cell>
          <cell r="C370">
            <v>15100</v>
          </cell>
          <cell r="D370">
            <v>9</v>
          </cell>
          <cell r="G370" t="str">
            <v>　　(旧 207 新津市)</v>
          </cell>
          <cell r="DF370">
            <v>116</v>
          </cell>
          <cell r="DI370">
            <v>1319</v>
          </cell>
          <cell r="DJ370">
            <v>1477</v>
          </cell>
          <cell r="DK370">
            <v>1606</v>
          </cell>
          <cell r="DL370">
            <v>1547</v>
          </cell>
          <cell r="DM370">
            <v>1325</v>
          </cell>
          <cell r="DN370">
            <v>1487</v>
          </cell>
          <cell r="DO370">
            <v>1794</v>
          </cell>
          <cell r="DP370">
            <v>2270</v>
          </cell>
          <cell r="DQ370">
            <v>2380</v>
          </cell>
          <cell r="DR370">
            <v>2039</v>
          </cell>
          <cell r="DS370">
            <v>1906</v>
          </cell>
          <cell r="DT370">
            <v>2091</v>
          </cell>
          <cell r="DU370">
            <v>2582</v>
          </cell>
          <cell r="DV370">
            <v>2584</v>
          </cell>
          <cell r="DW370">
            <v>1877</v>
          </cell>
          <cell r="DX370">
            <v>1586</v>
          </cell>
          <cell r="DY370">
            <v>1165</v>
          </cell>
          <cell r="DZ370">
            <v>752</v>
          </cell>
          <cell r="EA370">
            <v>246</v>
          </cell>
          <cell r="EB370">
            <v>56</v>
          </cell>
          <cell r="EC370">
            <v>8</v>
          </cell>
        </row>
        <row r="371">
          <cell r="B371">
            <v>201</v>
          </cell>
          <cell r="C371">
            <v>15100</v>
          </cell>
          <cell r="D371">
            <v>9</v>
          </cell>
          <cell r="G371" t="str">
            <v>　　(旧 220 白根市)</v>
          </cell>
          <cell r="DF371">
            <v>74</v>
          </cell>
          <cell r="DI371">
            <v>670</v>
          </cell>
          <cell r="DJ371">
            <v>737</v>
          </cell>
          <cell r="DK371">
            <v>822</v>
          </cell>
          <cell r="DL371">
            <v>885</v>
          </cell>
          <cell r="DM371">
            <v>825</v>
          </cell>
          <cell r="DN371">
            <v>917</v>
          </cell>
          <cell r="DO371">
            <v>1119</v>
          </cell>
          <cell r="DP371">
            <v>1228</v>
          </cell>
          <cell r="DQ371">
            <v>1241</v>
          </cell>
          <cell r="DR371">
            <v>1211</v>
          </cell>
          <cell r="DS371">
            <v>1231</v>
          </cell>
          <cell r="DT371">
            <v>1391</v>
          </cell>
          <cell r="DU371">
            <v>1510</v>
          </cell>
          <cell r="DV371">
            <v>1433</v>
          </cell>
          <cell r="DW371">
            <v>899</v>
          </cell>
          <cell r="DX371">
            <v>797</v>
          </cell>
          <cell r="DY371">
            <v>586</v>
          </cell>
          <cell r="DZ371">
            <v>392</v>
          </cell>
          <cell r="EA371">
            <v>128</v>
          </cell>
          <cell r="EB371">
            <v>28</v>
          </cell>
          <cell r="EC371">
            <v>4</v>
          </cell>
        </row>
        <row r="372">
          <cell r="B372">
            <v>201</v>
          </cell>
          <cell r="C372">
            <v>15100</v>
          </cell>
          <cell r="D372">
            <v>9</v>
          </cell>
          <cell r="G372" t="str">
            <v>　　(旧 221 豊栄市)</v>
          </cell>
          <cell r="DF372">
            <v>156</v>
          </cell>
          <cell r="DI372">
            <v>924</v>
          </cell>
          <cell r="DJ372">
            <v>1172</v>
          </cell>
          <cell r="DK372">
            <v>1180</v>
          </cell>
          <cell r="DL372">
            <v>1328</v>
          </cell>
          <cell r="DM372">
            <v>1133</v>
          </cell>
          <cell r="DN372">
            <v>1132</v>
          </cell>
          <cell r="DO372">
            <v>1297</v>
          </cell>
          <cell r="DP372">
            <v>1633</v>
          </cell>
          <cell r="DQ372">
            <v>1707</v>
          </cell>
          <cell r="DR372">
            <v>1427</v>
          </cell>
          <cell r="DS372">
            <v>1473</v>
          </cell>
          <cell r="DT372">
            <v>1507</v>
          </cell>
          <cell r="DU372">
            <v>1944</v>
          </cell>
          <cell r="DV372">
            <v>2053</v>
          </cell>
          <cell r="DW372">
            <v>1354</v>
          </cell>
          <cell r="DX372">
            <v>1037</v>
          </cell>
          <cell r="DY372">
            <v>667</v>
          </cell>
          <cell r="DZ372">
            <v>387</v>
          </cell>
          <cell r="EA372">
            <v>111</v>
          </cell>
          <cell r="EB372">
            <v>26</v>
          </cell>
          <cell r="EC372">
            <v>2</v>
          </cell>
        </row>
        <row r="373">
          <cell r="B373">
            <v>201</v>
          </cell>
          <cell r="C373">
            <v>15100</v>
          </cell>
          <cell r="D373">
            <v>9</v>
          </cell>
          <cell r="G373" t="str">
            <v>　　(旧 321 小須戸町)</v>
          </cell>
          <cell r="DF373">
            <v>11</v>
          </cell>
          <cell r="DI373">
            <v>153</v>
          </cell>
          <cell r="DJ373">
            <v>185</v>
          </cell>
          <cell r="DK373">
            <v>226</v>
          </cell>
          <cell r="DL373">
            <v>234</v>
          </cell>
          <cell r="DM373">
            <v>179</v>
          </cell>
          <cell r="DN373">
            <v>193</v>
          </cell>
          <cell r="DO373">
            <v>222</v>
          </cell>
          <cell r="DP373">
            <v>261</v>
          </cell>
          <cell r="DQ373">
            <v>319</v>
          </cell>
          <cell r="DR373">
            <v>327</v>
          </cell>
          <cell r="DS373">
            <v>289</v>
          </cell>
          <cell r="DT373">
            <v>307</v>
          </cell>
          <cell r="DU373">
            <v>366</v>
          </cell>
          <cell r="DV373">
            <v>399</v>
          </cell>
          <cell r="DW373">
            <v>240</v>
          </cell>
          <cell r="DX373">
            <v>253</v>
          </cell>
          <cell r="DY373">
            <v>170</v>
          </cell>
          <cell r="DZ373">
            <v>104</v>
          </cell>
          <cell r="EA373">
            <v>33</v>
          </cell>
          <cell r="EB373">
            <v>5</v>
          </cell>
          <cell r="EC373" t="str">
            <v>-</v>
          </cell>
        </row>
        <row r="374">
          <cell r="B374">
            <v>201</v>
          </cell>
          <cell r="C374">
            <v>15100</v>
          </cell>
          <cell r="D374">
            <v>9</v>
          </cell>
          <cell r="G374" t="str">
            <v>　　(旧 323 横越町)</v>
          </cell>
          <cell r="DF374">
            <v>14</v>
          </cell>
          <cell r="DI374">
            <v>265</v>
          </cell>
          <cell r="DJ374">
            <v>312</v>
          </cell>
          <cell r="DK374">
            <v>316</v>
          </cell>
          <cell r="DL374">
            <v>337</v>
          </cell>
          <cell r="DM374">
            <v>229</v>
          </cell>
          <cell r="DN374">
            <v>302</v>
          </cell>
          <cell r="DO374">
            <v>410</v>
          </cell>
          <cell r="DP374">
            <v>460</v>
          </cell>
          <cell r="DQ374">
            <v>479</v>
          </cell>
          <cell r="DR374">
            <v>361</v>
          </cell>
          <cell r="DS374">
            <v>342</v>
          </cell>
          <cell r="DT374">
            <v>402</v>
          </cell>
          <cell r="DU374">
            <v>421</v>
          </cell>
          <cell r="DV374">
            <v>447</v>
          </cell>
          <cell r="DW374">
            <v>272</v>
          </cell>
          <cell r="DX374">
            <v>212</v>
          </cell>
          <cell r="DY374">
            <v>157</v>
          </cell>
          <cell r="DZ374">
            <v>95</v>
          </cell>
          <cell r="EA374">
            <v>18</v>
          </cell>
          <cell r="EB374">
            <v>5</v>
          </cell>
          <cell r="EC374">
            <v>3</v>
          </cell>
        </row>
        <row r="375">
          <cell r="B375">
            <v>201</v>
          </cell>
          <cell r="C375">
            <v>15100</v>
          </cell>
          <cell r="D375">
            <v>9</v>
          </cell>
          <cell r="G375" t="str">
            <v>　　(旧 324 亀田町)</v>
          </cell>
          <cell r="DF375">
            <v>78</v>
          </cell>
          <cell r="DI375">
            <v>804</v>
          </cell>
          <cell r="DJ375">
            <v>886</v>
          </cell>
          <cell r="DK375">
            <v>892</v>
          </cell>
          <cell r="DL375">
            <v>754</v>
          </cell>
          <cell r="DM375">
            <v>607</v>
          </cell>
          <cell r="DN375">
            <v>850</v>
          </cell>
          <cell r="DO375">
            <v>1062</v>
          </cell>
          <cell r="DP375">
            <v>1317</v>
          </cell>
          <cell r="DQ375">
            <v>1465</v>
          </cell>
          <cell r="DR375">
            <v>1194</v>
          </cell>
          <cell r="DS375">
            <v>958</v>
          </cell>
          <cell r="DT375">
            <v>1037</v>
          </cell>
          <cell r="DU375">
            <v>1225</v>
          </cell>
          <cell r="DV375">
            <v>1324</v>
          </cell>
          <cell r="DW375">
            <v>997</v>
          </cell>
          <cell r="DX375">
            <v>755</v>
          </cell>
          <cell r="DY375">
            <v>474</v>
          </cell>
          <cell r="DZ375">
            <v>285</v>
          </cell>
          <cell r="EA375">
            <v>77</v>
          </cell>
          <cell r="EB375">
            <v>13</v>
          </cell>
          <cell r="EC375">
            <v>3</v>
          </cell>
        </row>
        <row r="376">
          <cell r="B376">
            <v>201</v>
          </cell>
          <cell r="C376">
            <v>15100</v>
          </cell>
          <cell r="D376">
            <v>9</v>
          </cell>
          <cell r="G376" t="str">
            <v>　　(旧 341 岩室村)</v>
          </cell>
          <cell r="DF376">
            <v>1</v>
          </cell>
          <cell r="DI376">
            <v>106</v>
          </cell>
          <cell r="DJ376">
            <v>148</v>
          </cell>
          <cell r="DK376">
            <v>186</v>
          </cell>
          <cell r="DL376">
            <v>168</v>
          </cell>
          <cell r="DM376">
            <v>168</v>
          </cell>
          <cell r="DN376">
            <v>185</v>
          </cell>
          <cell r="DO376">
            <v>213</v>
          </cell>
          <cell r="DP376">
            <v>236</v>
          </cell>
          <cell r="DQ376">
            <v>294</v>
          </cell>
          <cell r="DR376">
            <v>231</v>
          </cell>
          <cell r="DS376">
            <v>264</v>
          </cell>
          <cell r="DT376">
            <v>319</v>
          </cell>
          <cell r="DU376">
            <v>376</v>
          </cell>
          <cell r="DV376">
            <v>446</v>
          </cell>
          <cell r="DW376">
            <v>272</v>
          </cell>
          <cell r="DX376">
            <v>223</v>
          </cell>
          <cell r="DY376">
            <v>190</v>
          </cell>
          <cell r="DZ376">
            <v>97</v>
          </cell>
          <cell r="EA376">
            <v>40</v>
          </cell>
          <cell r="EB376">
            <v>12</v>
          </cell>
          <cell r="EC376">
            <v>3</v>
          </cell>
        </row>
        <row r="377">
          <cell r="B377">
            <v>201</v>
          </cell>
          <cell r="C377">
            <v>15100</v>
          </cell>
          <cell r="D377">
            <v>9</v>
          </cell>
          <cell r="G377" t="str">
            <v>　　(旧 345 巻町)</v>
          </cell>
          <cell r="DF377">
            <v>16</v>
          </cell>
          <cell r="DI377">
            <v>521</v>
          </cell>
          <cell r="DJ377">
            <v>544</v>
          </cell>
          <cell r="DK377">
            <v>604</v>
          </cell>
          <cell r="DL377">
            <v>693</v>
          </cell>
          <cell r="DM377">
            <v>590</v>
          </cell>
          <cell r="DN377">
            <v>641</v>
          </cell>
          <cell r="DO377">
            <v>704</v>
          </cell>
          <cell r="DP377">
            <v>802</v>
          </cell>
          <cell r="DQ377">
            <v>955</v>
          </cell>
          <cell r="DR377">
            <v>827</v>
          </cell>
          <cell r="DS377">
            <v>881</v>
          </cell>
          <cell r="DT377">
            <v>920</v>
          </cell>
          <cell r="DU377">
            <v>1091</v>
          </cell>
          <cell r="DV377">
            <v>1117</v>
          </cell>
          <cell r="DW377">
            <v>754</v>
          </cell>
          <cell r="DX377">
            <v>658</v>
          </cell>
          <cell r="DY377">
            <v>498</v>
          </cell>
          <cell r="DZ377">
            <v>239</v>
          </cell>
          <cell r="EA377">
            <v>73</v>
          </cell>
          <cell r="EB377">
            <v>12</v>
          </cell>
          <cell r="EC377" t="str">
            <v>-</v>
          </cell>
        </row>
        <row r="378">
          <cell r="B378">
            <v>201</v>
          </cell>
          <cell r="C378">
            <v>15100</v>
          </cell>
          <cell r="D378">
            <v>9</v>
          </cell>
          <cell r="G378" t="str">
            <v>　　(旧 346 西川町)</v>
          </cell>
          <cell r="DF378">
            <v>2</v>
          </cell>
          <cell r="DI378">
            <v>158</v>
          </cell>
          <cell r="DJ378">
            <v>206</v>
          </cell>
          <cell r="DK378">
            <v>245</v>
          </cell>
          <cell r="DL378">
            <v>283</v>
          </cell>
          <cell r="DM378">
            <v>217</v>
          </cell>
          <cell r="DN378">
            <v>254</v>
          </cell>
          <cell r="DO378">
            <v>276</v>
          </cell>
          <cell r="DP378">
            <v>322</v>
          </cell>
          <cell r="DQ378">
            <v>336</v>
          </cell>
          <cell r="DR378">
            <v>319</v>
          </cell>
          <cell r="DS378">
            <v>374</v>
          </cell>
          <cell r="DT378">
            <v>436</v>
          </cell>
          <cell r="DU378">
            <v>489</v>
          </cell>
          <cell r="DV378">
            <v>490</v>
          </cell>
          <cell r="DW378">
            <v>318</v>
          </cell>
          <cell r="DX378">
            <v>254</v>
          </cell>
          <cell r="DY378">
            <v>202</v>
          </cell>
          <cell r="DZ378">
            <v>141</v>
          </cell>
          <cell r="EA378">
            <v>33</v>
          </cell>
          <cell r="EB378">
            <v>14</v>
          </cell>
          <cell r="EC378">
            <v>3</v>
          </cell>
        </row>
        <row r="379">
          <cell r="B379">
            <v>201</v>
          </cell>
          <cell r="C379">
            <v>15100</v>
          </cell>
          <cell r="D379">
            <v>9</v>
          </cell>
          <cell r="G379" t="str">
            <v>　　(旧 347 黒埼町)</v>
          </cell>
          <cell r="DF379">
            <v>52</v>
          </cell>
          <cell r="DI379">
            <v>571</v>
          </cell>
          <cell r="DJ379">
            <v>594</v>
          </cell>
          <cell r="DK379">
            <v>650</v>
          </cell>
          <cell r="DL379">
            <v>639</v>
          </cell>
          <cell r="DM379">
            <v>436</v>
          </cell>
          <cell r="DN379">
            <v>733</v>
          </cell>
          <cell r="DO379">
            <v>837</v>
          </cell>
          <cell r="DP379">
            <v>905</v>
          </cell>
          <cell r="DQ379">
            <v>1037</v>
          </cell>
          <cell r="DR379">
            <v>930</v>
          </cell>
          <cell r="DS379">
            <v>798</v>
          </cell>
          <cell r="DT379">
            <v>821</v>
          </cell>
          <cell r="DU379">
            <v>979</v>
          </cell>
          <cell r="DV379">
            <v>1018</v>
          </cell>
          <cell r="DW379">
            <v>686</v>
          </cell>
          <cell r="DX379">
            <v>576</v>
          </cell>
          <cell r="DY379">
            <v>416</v>
          </cell>
          <cell r="DZ379">
            <v>205</v>
          </cell>
          <cell r="EA379">
            <v>55</v>
          </cell>
          <cell r="EB379">
            <v>15</v>
          </cell>
          <cell r="EC379">
            <v>2</v>
          </cell>
        </row>
        <row r="380">
          <cell r="B380">
            <v>201</v>
          </cell>
          <cell r="C380">
            <v>15100</v>
          </cell>
          <cell r="D380">
            <v>9</v>
          </cell>
          <cell r="G380" t="str">
            <v>　　(旧 348 味方村)</v>
          </cell>
          <cell r="DF380">
            <v>2</v>
          </cell>
          <cell r="DI380">
            <v>86</v>
          </cell>
          <cell r="DJ380">
            <v>86</v>
          </cell>
          <cell r="DK380">
            <v>74</v>
          </cell>
          <cell r="DL380">
            <v>90</v>
          </cell>
          <cell r="DM380">
            <v>72</v>
          </cell>
          <cell r="DN380">
            <v>115</v>
          </cell>
          <cell r="DO380">
            <v>128</v>
          </cell>
          <cell r="DP380">
            <v>145</v>
          </cell>
          <cell r="DQ380">
            <v>136</v>
          </cell>
          <cell r="DR380">
            <v>129</v>
          </cell>
          <cell r="DS380">
            <v>118</v>
          </cell>
          <cell r="DT380">
            <v>166</v>
          </cell>
          <cell r="DU380">
            <v>199</v>
          </cell>
          <cell r="DV380">
            <v>195</v>
          </cell>
          <cell r="DW380">
            <v>130</v>
          </cell>
          <cell r="DX380">
            <v>127</v>
          </cell>
          <cell r="DY380">
            <v>98</v>
          </cell>
          <cell r="DZ380">
            <v>53</v>
          </cell>
          <cell r="EA380">
            <v>17</v>
          </cell>
          <cell r="EB380">
            <v>1</v>
          </cell>
          <cell r="EC380" t="str">
            <v>-</v>
          </cell>
        </row>
        <row r="381">
          <cell r="B381">
            <v>201</v>
          </cell>
          <cell r="C381">
            <v>15100</v>
          </cell>
          <cell r="D381">
            <v>9</v>
          </cell>
          <cell r="G381" t="str">
            <v>　　(旧 349 潟東村)</v>
          </cell>
          <cell r="DF381" t="str">
            <v>-</v>
          </cell>
          <cell r="DI381">
            <v>98</v>
          </cell>
          <cell r="DJ381">
            <v>103</v>
          </cell>
          <cell r="DK381">
            <v>114</v>
          </cell>
          <cell r="DL381">
            <v>147</v>
          </cell>
          <cell r="DM381">
            <v>94</v>
          </cell>
          <cell r="DN381">
            <v>130</v>
          </cell>
          <cell r="DO381">
            <v>142</v>
          </cell>
          <cell r="DP381">
            <v>157</v>
          </cell>
          <cell r="DQ381">
            <v>136</v>
          </cell>
          <cell r="DR381">
            <v>158</v>
          </cell>
          <cell r="DS381">
            <v>201</v>
          </cell>
          <cell r="DT381">
            <v>234</v>
          </cell>
          <cell r="DU381">
            <v>267</v>
          </cell>
          <cell r="DV381">
            <v>217</v>
          </cell>
          <cell r="DW381">
            <v>116</v>
          </cell>
          <cell r="DX381">
            <v>131</v>
          </cell>
          <cell r="DY381">
            <v>126</v>
          </cell>
          <cell r="DZ381">
            <v>73</v>
          </cell>
          <cell r="EA381">
            <v>24</v>
          </cell>
          <cell r="EB381">
            <v>12</v>
          </cell>
          <cell r="EC381">
            <v>1</v>
          </cell>
        </row>
        <row r="382">
          <cell r="B382">
            <v>201</v>
          </cell>
          <cell r="C382">
            <v>15100</v>
          </cell>
          <cell r="D382">
            <v>9</v>
          </cell>
          <cell r="G382" t="str">
            <v>　　(旧 350 月潟村)</v>
          </cell>
          <cell r="DF382">
            <v>5</v>
          </cell>
          <cell r="DI382">
            <v>63</v>
          </cell>
          <cell r="DJ382">
            <v>83</v>
          </cell>
          <cell r="DK382">
            <v>90</v>
          </cell>
          <cell r="DL382">
            <v>64</v>
          </cell>
          <cell r="DM382">
            <v>66</v>
          </cell>
          <cell r="DN382">
            <v>103</v>
          </cell>
          <cell r="DO382">
            <v>112</v>
          </cell>
          <cell r="DP382">
            <v>125</v>
          </cell>
          <cell r="DQ382">
            <v>114</v>
          </cell>
          <cell r="DR382">
            <v>100</v>
          </cell>
          <cell r="DS382">
            <v>127</v>
          </cell>
          <cell r="DT382">
            <v>141</v>
          </cell>
          <cell r="DU382">
            <v>136</v>
          </cell>
          <cell r="DV382">
            <v>147</v>
          </cell>
          <cell r="DW382">
            <v>88</v>
          </cell>
          <cell r="DX382">
            <v>92</v>
          </cell>
          <cell r="DY382">
            <v>55</v>
          </cell>
          <cell r="DZ382">
            <v>38</v>
          </cell>
          <cell r="EA382">
            <v>22</v>
          </cell>
          <cell r="EB382">
            <v>2</v>
          </cell>
          <cell r="EC382" t="str">
            <v>-</v>
          </cell>
        </row>
        <row r="383">
          <cell r="B383">
            <v>201</v>
          </cell>
          <cell r="C383">
            <v>15100</v>
          </cell>
          <cell r="D383">
            <v>9</v>
          </cell>
          <cell r="G383" t="str">
            <v>　　(旧 351 中之口村)</v>
          </cell>
          <cell r="DF383" t="str">
            <v>-</v>
          </cell>
          <cell r="DI383">
            <v>98</v>
          </cell>
          <cell r="DJ383">
            <v>108</v>
          </cell>
          <cell r="DK383">
            <v>138</v>
          </cell>
          <cell r="DL383">
            <v>151</v>
          </cell>
          <cell r="DM383">
            <v>126</v>
          </cell>
          <cell r="DN383">
            <v>131</v>
          </cell>
          <cell r="DO383">
            <v>149</v>
          </cell>
          <cell r="DP383">
            <v>166</v>
          </cell>
          <cell r="DQ383">
            <v>188</v>
          </cell>
          <cell r="DR383">
            <v>170</v>
          </cell>
          <cell r="DS383">
            <v>178</v>
          </cell>
          <cell r="DT383">
            <v>234</v>
          </cell>
          <cell r="DU383">
            <v>267</v>
          </cell>
          <cell r="DV383">
            <v>230</v>
          </cell>
          <cell r="DW383">
            <v>146</v>
          </cell>
          <cell r="DX383">
            <v>143</v>
          </cell>
          <cell r="DY383">
            <v>102</v>
          </cell>
          <cell r="DZ383">
            <v>54</v>
          </cell>
          <cell r="EA383">
            <v>20</v>
          </cell>
          <cell r="EB383">
            <v>6</v>
          </cell>
          <cell r="EC383" t="str">
            <v>-</v>
          </cell>
        </row>
        <row r="384">
          <cell r="B384">
            <v>201</v>
          </cell>
          <cell r="C384">
            <v>15101</v>
          </cell>
          <cell r="D384">
            <v>0</v>
          </cell>
          <cell r="G384" t="str">
            <v>新潟市 北区</v>
          </cell>
          <cell r="DF384">
            <v>260</v>
          </cell>
          <cell r="DI384">
            <v>1392</v>
          </cell>
          <cell r="DJ384">
            <v>1693</v>
          </cell>
          <cell r="DK384">
            <v>1753</v>
          </cell>
          <cell r="DL384">
            <v>2168</v>
          </cell>
          <cell r="DM384">
            <v>1824</v>
          </cell>
          <cell r="DN384">
            <v>1807</v>
          </cell>
          <cell r="DO384">
            <v>1955</v>
          </cell>
          <cell r="DP384">
            <v>2444</v>
          </cell>
          <cell r="DQ384">
            <v>2635</v>
          </cell>
          <cell r="DR384">
            <v>2329</v>
          </cell>
          <cell r="DS384">
            <v>2337</v>
          </cell>
          <cell r="DT384">
            <v>2385</v>
          </cell>
          <cell r="DU384">
            <v>2996</v>
          </cell>
          <cell r="DV384">
            <v>3191</v>
          </cell>
          <cell r="DW384">
            <v>2197</v>
          </cell>
          <cell r="DX384">
            <v>1676</v>
          </cell>
          <cell r="DY384">
            <v>1111</v>
          </cell>
          <cell r="DZ384">
            <v>591</v>
          </cell>
          <cell r="EA384">
            <v>191</v>
          </cell>
          <cell r="EB384">
            <v>34</v>
          </cell>
          <cell r="EC384">
            <v>4</v>
          </cell>
        </row>
        <row r="385">
          <cell r="B385">
            <v>201</v>
          </cell>
          <cell r="C385">
            <v>15102</v>
          </cell>
          <cell r="D385">
            <v>0</v>
          </cell>
          <cell r="G385" t="str">
            <v>新潟市 東区</v>
          </cell>
          <cell r="DF385">
            <v>424</v>
          </cell>
          <cell r="DI385">
            <v>2867</v>
          </cell>
          <cell r="DJ385">
            <v>2920</v>
          </cell>
          <cell r="DK385">
            <v>3117</v>
          </cell>
          <cell r="DL385">
            <v>3121</v>
          </cell>
          <cell r="DM385">
            <v>2705</v>
          </cell>
          <cell r="DN385">
            <v>3450</v>
          </cell>
          <cell r="DO385">
            <v>4046</v>
          </cell>
          <cell r="DP385">
            <v>4728</v>
          </cell>
          <cell r="DQ385">
            <v>5599</v>
          </cell>
          <cell r="DR385">
            <v>4784</v>
          </cell>
          <cell r="DS385">
            <v>4101</v>
          </cell>
          <cell r="DT385">
            <v>3868</v>
          </cell>
          <cell r="DU385">
            <v>4596</v>
          </cell>
          <cell r="DV385">
            <v>5197</v>
          </cell>
          <cell r="DW385">
            <v>3868</v>
          </cell>
          <cell r="DX385">
            <v>3047</v>
          </cell>
          <cell r="DY385">
            <v>2099</v>
          </cell>
          <cell r="DZ385">
            <v>1083</v>
          </cell>
          <cell r="EA385">
            <v>298</v>
          </cell>
          <cell r="EB385">
            <v>77</v>
          </cell>
          <cell r="EC385">
            <v>6</v>
          </cell>
        </row>
        <row r="386">
          <cell r="B386">
            <v>201</v>
          </cell>
          <cell r="C386">
            <v>15103</v>
          </cell>
          <cell r="D386">
            <v>0</v>
          </cell>
          <cell r="G386" t="str">
            <v>新潟市 中央区</v>
          </cell>
          <cell r="DF386">
            <v>1735</v>
          </cell>
          <cell r="DI386">
            <v>3662</v>
          </cell>
          <cell r="DJ386">
            <v>3522</v>
          </cell>
          <cell r="DK386">
            <v>3529</v>
          </cell>
          <cell r="DL386">
            <v>4265</v>
          </cell>
          <cell r="DM386">
            <v>4801</v>
          </cell>
          <cell r="DN386">
            <v>4987</v>
          </cell>
          <cell r="DO386">
            <v>5365</v>
          </cell>
          <cell r="DP386">
            <v>6314</v>
          </cell>
          <cell r="DQ386">
            <v>7310</v>
          </cell>
          <cell r="DR386">
            <v>6715</v>
          </cell>
          <cell r="DS386">
            <v>5940</v>
          </cell>
          <cell r="DT386">
            <v>5405</v>
          </cell>
          <cell r="DU386">
            <v>5502</v>
          </cell>
          <cell r="DV386">
            <v>5963</v>
          </cell>
          <cell r="DW386">
            <v>4322</v>
          </cell>
          <cell r="DX386">
            <v>3511</v>
          </cell>
          <cell r="DY386">
            <v>2699</v>
          </cell>
          <cell r="DZ386">
            <v>1519</v>
          </cell>
          <cell r="EA386">
            <v>498</v>
          </cell>
          <cell r="EB386">
            <v>141</v>
          </cell>
          <cell r="EC386">
            <v>16</v>
          </cell>
        </row>
        <row r="387">
          <cell r="B387">
            <v>201</v>
          </cell>
          <cell r="C387">
            <v>15104</v>
          </cell>
          <cell r="D387">
            <v>0</v>
          </cell>
          <cell r="G387" t="str">
            <v>新潟市 江南区</v>
          </cell>
          <cell r="DF387">
            <v>105</v>
          </cell>
          <cell r="DI387">
            <v>1412</v>
          </cell>
          <cell r="DJ387">
            <v>1601</v>
          </cell>
          <cell r="DK387">
            <v>1646</v>
          </cell>
          <cell r="DL387">
            <v>1594</v>
          </cell>
          <cell r="DM387">
            <v>1199</v>
          </cell>
          <cell r="DN387">
            <v>1630</v>
          </cell>
          <cell r="DO387">
            <v>2054</v>
          </cell>
          <cell r="DP387">
            <v>2542</v>
          </cell>
          <cell r="DQ387">
            <v>2728</v>
          </cell>
          <cell r="DR387">
            <v>2216</v>
          </cell>
          <cell r="DS387">
            <v>1954</v>
          </cell>
          <cell r="DT387">
            <v>2088</v>
          </cell>
          <cell r="DU387">
            <v>2531</v>
          </cell>
          <cell r="DV387">
            <v>2780</v>
          </cell>
          <cell r="DW387">
            <v>2020</v>
          </cell>
          <cell r="DX387">
            <v>1537</v>
          </cell>
          <cell r="DY387">
            <v>968</v>
          </cell>
          <cell r="DZ387">
            <v>573</v>
          </cell>
          <cell r="EA387">
            <v>179</v>
          </cell>
          <cell r="EB387">
            <v>38</v>
          </cell>
          <cell r="EC387">
            <v>12</v>
          </cell>
        </row>
        <row r="388">
          <cell r="B388">
            <v>201</v>
          </cell>
          <cell r="C388">
            <v>15105</v>
          </cell>
          <cell r="D388">
            <v>0</v>
          </cell>
          <cell r="G388" t="str">
            <v>新潟市 秋葉区</v>
          </cell>
          <cell r="DF388">
            <v>127</v>
          </cell>
          <cell r="DI388">
            <v>1472</v>
          </cell>
          <cell r="DJ388">
            <v>1662</v>
          </cell>
          <cell r="DK388">
            <v>1832</v>
          </cell>
          <cell r="DL388">
            <v>1781</v>
          </cell>
          <cell r="DM388">
            <v>1504</v>
          </cell>
          <cell r="DN388">
            <v>1680</v>
          </cell>
          <cell r="DO388">
            <v>2016</v>
          </cell>
          <cell r="DP388">
            <v>2531</v>
          </cell>
          <cell r="DQ388">
            <v>2699</v>
          </cell>
          <cell r="DR388">
            <v>2366</v>
          </cell>
          <cell r="DS388">
            <v>2195</v>
          </cell>
          <cell r="DT388">
            <v>2398</v>
          </cell>
          <cell r="DU388">
            <v>2948</v>
          </cell>
          <cell r="DV388">
            <v>2983</v>
          </cell>
          <cell r="DW388">
            <v>2117</v>
          </cell>
          <cell r="DX388">
            <v>1839</v>
          </cell>
          <cell r="DY388">
            <v>1335</v>
          </cell>
          <cell r="DZ388">
            <v>856</v>
          </cell>
          <cell r="EA388">
            <v>279</v>
          </cell>
          <cell r="EB388">
            <v>61</v>
          </cell>
          <cell r="EC388">
            <v>8</v>
          </cell>
        </row>
        <row r="389">
          <cell r="B389">
            <v>201</v>
          </cell>
          <cell r="C389">
            <v>15106</v>
          </cell>
          <cell r="D389">
            <v>0</v>
          </cell>
          <cell r="G389" t="str">
            <v>新潟市 南区</v>
          </cell>
          <cell r="DF389">
            <v>81</v>
          </cell>
          <cell r="DI389">
            <v>819</v>
          </cell>
          <cell r="DJ389">
            <v>906</v>
          </cell>
          <cell r="DK389">
            <v>986</v>
          </cell>
          <cell r="DL389">
            <v>1039</v>
          </cell>
          <cell r="DM389">
            <v>963</v>
          </cell>
          <cell r="DN389">
            <v>1135</v>
          </cell>
          <cell r="DO389">
            <v>1359</v>
          </cell>
          <cell r="DP389">
            <v>1498</v>
          </cell>
          <cell r="DQ389">
            <v>1491</v>
          </cell>
          <cell r="DR389">
            <v>1440</v>
          </cell>
          <cell r="DS389">
            <v>1476</v>
          </cell>
          <cell r="DT389">
            <v>1698</v>
          </cell>
          <cell r="DU389">
            <v>1845</v>
          </cell>
          <cell r="DV389">
            <v>1775</v>
          </cell>
          <cell r="DW389">
            <v>1117</v>
          </cell>
          <cell r="DX389">
            <v>1016</v>
          </cell>
          <cell r="DY389">
            <v>739</v>
          </cell>
          <cell r="DZ389">
            <v>483</v>
          </cell>
          <cell r="EA389">
            <v>167</v>
          </cell>
          <cell r="EB389">
            <v>31</v>
          </cell>
          <cell r="EC389">
            <v>4</v>
          </cell>
        </row>
        <row r="390">
          <cell r="B390">
            <v>201</v>
          </cell>
          <cell r="C390">
            <v>15107</v>
          </cell>
          <cell r="D390">
            <v>0</v>
          </cell>
          <cell r="G390" t="str">
            <v>新潟市 西区</v>
          </cell>
          <cell r="DF390">
            <v>718</v>
          </cell>
          <cell r="DI390">
            <v>3181</v>
          </cell>
          <cell r="DJ390">
            <v>3376</v>
          </cell>
          <cell r="DK390">
            <v>3543</v>
          </cell>
          <cell r="DL390">
            <v>4745</v>
          </cell>
          <cell r="DM390">
            <v>5777</v>
          </cell>
          <cell r="DN390">
            <v>3710</v>
          </cell>
          <cell r="DO390">
            <v>4334</v>
          </cell>
          <cell r="DP390">
            <v>5318</v>
          </cell>
          <cell r="DQ390">
            <v>5864</v>
          </cell>
          <cell r="DR390">
            <v>5061</v>
          </cell>
          <cell r="DS390">
            <v>4655</v>
          </cell>
          <cell r="DT390">
            <v>4486</v>
          </cell>
          <cell r="DU390">
            <v>5348</v>
          </cell>
          <cell r="DV390">
            <v>5942</v>
          </cell>
          <cell r="DW390">
            <v>4457</v>
          </cell>
          <cell r="DX390">
            <v>3515</v>
          </cell>
          <cell r="DY390">
            <v>2631</v>
          </cell>
          <cell r="DZ390">
            <v>1509</v>
          </cell>
          <cell r="EA390">
            <v>446</v>
          </cell>
          <cell r="EB390">
            <v>91</v>
          </cell>
          <cell r="EC390">
            <v>7</v>
          </cell>
        </row>
        <row r="391">
          <cell r="B391">
            <v>201</v>
          </cell>
          <cell r="C391">
            <v>15108</v>
          </cell>
          <cell r="D391">
            <v>0</v>
          </cell>
          <cell r="G391" t="str">
            <v>新潟市 西蒲区</v>
          </cell>
          <cell r="DF391">
            <v>19</v>
          </cell>
          <cell r="DI391">
            <v>974</v>
          </cell>
          <cell r="DJ391">
            <v>1102</v>
          </cell>
          <cell r="DK391">
            <v>1281</v>
          </cell>
          <cell r="DL391">
            <v>1432</v>
          </cell>
          <cell r="DM391">
            <v>1184</v>
          </cell>
          <cell r="DN391">
            <v>1329</v>
          </cell>
          <cell r="DO391">
            <v>1478</v>
          </cell>
          <cell r="DP391">
            <v>1672</v>
          </cell>
          <cell r="DQ391">
            <v>1893</v>
          </cell>
          <cell r="DR391">
            <v>1691</v>
          </cell>
          <cell r="DS391">
            <v>1882</v>
          </cell>
          <cell r="DT391">
            <v>2127</v>
          </cell>
          <cell r="DU391">
            <v>2477</v>
          </cell>
          <cell r="DV391">
            <v>2473</v>
          </cell>
          <cell r="DW391">
            <v>1585</v>
          </cell>
          <cell r="DX391">
            <v>1388</v>
          </cell>
          <cell r="DY391">
            <v>1102</v>
          </cell>
          <cell r="DZ391">
            <v>598</v>
          </cell>
          <cell r="EA391">
            <v>189</v>
          </cell>
          <cell r="EB391">
            <v>56</v>
          </cell>
          <cell r="EC391">
            <v>7</v>
          </cell>
        </row>
        <row r="392">
          <cell r="B392">
            <v>201</v>
          </cell>
          <cell r="C392">
            <v>15202</v>
          </cell>
          <cell r="D392">
            <v>2</v>
          </cell>
          <cell r="G392" t="str">
            <v>長岡市</v>
          </cell>
          <cell r="DF392">
            <v>632</v>
          </cell>
          <cell r="DI392">
            <v>5395</v>
          </cell>
          <cell r="DJ392">
            <v>5966</v>
          </cell>
          <cell r="DK392">
            <v>6190</v>
          </cell>
          <cell r="DL392">
            <v>6579</v>
          </cell>
          <cell r="DM392">
            <v>6442</v>
          </cell>
          <cell r="DN392">
            <v>6475</v>
          </cell>
          <cell r="DO392">
            <v>7626</v>
          </cell>
          <cell r="DP392">
            <v>9046</v>
          </cell>
          <cell r="DQ392">
            <v>10028</v>
          </cell>
          <cell r="DR392">
            <v>8696</v>
          </cell>
          <cell r="DS392">
            <v>8294</v>
          </cell>
          <cell r="DT392">
            <v>8688</v>
          </cell>
          <cell r="DU392">
            <v>10036</v>
          </cell>
          <cell r="DV392">
            <v>10742</v>
          </cell>
          <cell r="DW392">
            <v>7566</v>
          </cell>
          <cell r="DX392">
            <v>6482</v>
          </cell>
          <cell r="DY392">
            <v>4929</v>
          </cell>
          <cell r="DZ392">
            <v>3187</v>
          </cell>
          <cell r="EA392">
            <v>973</v>
          </cell>
          <cell r="EB392">
            <v>200</v>
          </cell>
          <cell r="EC392">
            <v>26</v>
          </cell>
        </row>
        <row r="393">
          <cell r="B393">
            <v>201</v>
          </cell>
          <cell r="C393">
            <v>15202</v>
          </cell>
          <cell r="D393">
            <v>9</v>
          </cell>
          <cell r="G393" t="str">
            <v>　　(旧 202 長岡市)</v>
          </cell>
          <cell r="DF393">
            <v>611</v>
          </cell>
          <cell r="DI393">
            <v>4085</v>
          </cell>
          <cell r="DJ393">
            <v>4386</v>
          </cell>
          <cell r="DK393">
            <v>4453</v>
          </cell>
          <cell r="DL393">
            <v>4832</v>
          </cell>
          <cell r="DM393">
            <v>5045</v>
          </cell>
          <cell r="DN393">
            <v>4822</v>
          </cell>
          <cell r="DO393">
            <v>5611</v>
          </cell>
          <cell r="DP393">
            <v>6710</v>
          </cell>
          <cell r="DQ393">
            <v>7480</v>
          </cell>
          <cell r="DR393">
            <v>6404</v>
          </cell>
          <cell r="DS393">
            <v>5740</v>
          </cell>
          <cell r="DT393">
            <v>5686</v>
          </cell>
          <cell r="DU393">
            <v>6389</v>
          </cell>
          <cell r="DV393">
            <v>6967</v>
          </cell>
          <cell r="DW393">
            <v>5120</v>
          </cell>
          <cell r="DX393">
            <v>4170</v>
          </cell>
          <cell r="DY393">
            <v>3092</v>
          </cell>
          <cell r="DZ393">
            <v>1896</v>
          </cell>
          <cell r="EA393">
            <v>625</v>
          </cell>
          <cell r="EB393">
            <v>116</v>
          </cell>
          <cell r="EC393">
            <v>15</v>
          </cell>
        </row>
        <row r="394">
          <cell r="B394">
            <v>201</v>
          </cell>
          <cell r="C394">
            <v>15202</v>
          </cell>
          <cell r="D394">
            <v>9</v>
          </cell>
          <cell r="G394" t="str">
            <v>　　(旧 215 栃尾市)</v>
          </cell>
          <cell r="DF394">
            <v>3</v>
          </cell>
          <cell r="DI394">
            <v>262</v>
          </cell>
          <cell r="DJ394">
            <v>306</v>
          </cell>
          <cell r="DK394">
            <v>361</v>
          </cell>
          <cell r="DL394">
            <v>401</v>
          </cell>
          <cell r="DM394">
            <v>276</v>
          </cell>
          <cell r="DN394">
            <v>323</v>
          </cell>
          <cell r="DO394">
            <v>408</v>
          </cell>
          <cell r="DP394">
            <v>490</v>
          </cell>
          <cell r="DQ394">
            <v>564</v>
          </cell>
          <cell r="DR394">
            <v>502</v>
          </cell>
          <cell r="DS394">
            <v>554</v>
          </cell>
          <cell r="DT394">
            <v>665</v>
          </cell>
          <cell r="DU394">
            <v>878</v>
          </cell>
          <cell r="DV394">
            <v>970</v>
          </cell>
          <cell r="DW394">
            <v>643</v>
          </cell>
          <cell r="DX394">
            <v>626</v>
          </cell>
          <cell r="DY394">
            <v>494</v>
          </cell>
          <cell r="DZ394">
            <v>323</v>
          </cell>
          <cell r="EA394">
            <v>99</v>
          </cell>
          <cell r="EB394">
            <v>28</v>
          </cell>
          <cell r="EC394">
            <v>5</v>
          </cell>
        </row>
        <row r="395">
          <cell r="B395">
            <v>201</v>
          </cell>
          <cell r="C395">
            <v>15202</v>
          </cell>
          <cell r="D395">
            <v>9</v>
          </cell>
          <cell r="G395" t="str">
            <v>　　(旧 364 中之島町)</v>
          </cell>
          <cell r="DF395">
            <v>10</v>
          </cell>
          <cell r="DI395">
            <v>204</v>
          </cell>
          <cell r="DJ395">
            <v>252</v>
          </cell>
          <cell r="DK395">
            <v>247</v>
          </cell>
          <cell r="DL395">
            <v>248</v>
          </cell>
          <cell r="DM395">
            <v>236</v>
          </cell>
          <cell r="DN395">
            <v>285</v>
          </cell>
          <cell r="DO395">
            <v>340</v>
          </cell>
          <cell r="DP395">
            <v>352</v>
          </cell>
          <cell r="DQ395">
            <v>383</v>
          </cell>
          <cell r="DR395">
            <v>330</v>
          </cell>
          <cell r="DS395">
            <v>381</v>
          </cell>
          <cell r="DT395">
            <v>423</v>
          </cell>
          <cell r="DU395">
            <v>529</v>
          </cell>
          <cell r="DV395">
            <v>484</v>
          </cell>
          <cell r="DW395">
            <v>275</v>
          </cell>
          <cell r="DX395">
            <v>271</v>
          </cell>
          <cell r="DY395">
            <v>199</v>
          </cell>
          <cell r="DZ395">
            <v>154</v>
          </cell>
          <cell r="EA395">
            <v>32</v>
          </cell>
          <cell r="EB395">
            <v>6</v>
          </cell>
          <cell r="EC395">
            <v>2</v>
          </cell>
        </row>
        <row r="396">
          <cell r="B396">
            <v>201</v>
          </cell>
          <cell r="C396">
            <v>15202</v>
          </cell>
          <cell r="D396">
            <v>9</v>
          </cell>
          <cell r="G396" t="str">
            <v>　　(旧 401 越路町)</v>
          </cell>
          <cell r="DF396">
            <v>3</v>
          </cell>
          <cell r="DI396">
            <v>313</v>
          </cell>
          <cell r="DJ396">
            <v>327</v>
          </cell>
          <cell r="DK396">
            <v>309</v>
          </cell>
          <cell r="DL396">
            <v>272</v>
          </cell>
          <cell r="DM396">
            <v>238</v>
          </cell>
          <cell r="DN396">
            <v>302</v>
          </cell>
          <cell r="DO396">
            <v>389</v>
          </cell>
          <cell r="DP396">
            <v>485</v>
          </cell>
          <cell r="DQ396">
            <v>452</v>
          </cell>
          <cell r="DR396">
            <v>378</v>
          </cell>
          <cell r="DS396">
            <v>378</v>
          </cell>
          <cell r="DT396">
            <v>461</v>
          </cell>
          <cell r="DU396">
            <v>542</v>
          </cell>
          <cell r="DV396">
            <v>593</v>
          </cell>
          <cell r="DW396">
            <v>373</v>
          </cell>
          <cell r="DX396">
            <v>299</v>
          </cell>
          <cell r="DY396">
            <v>255</v>
          </cell>
          <cell r="DZ396">
            <v>177</v>
          </cell>
          <cell r="EA396">
            <v>52</v>
          </cell>
          <cell r="EB396">
            <v>14</v>
          </cell>
          <cell r="EC396" t="str">
            <v>-</v>
          </cell>
        </row>
        <row r="397">
          <cell r="B397">
            <v>201</v>
          </cell>
          <cell r="C397">
            <v>15202</v>
          </cell>
          <cell r="D397">
            <v>9</v>
          </cell>
          <cell r="G397" t="str">
            <v>　　(旧 402 三島町)</v>
          </cell>
          <cell r="DF397">
            <v>5</v>
          </cell>
          <cell r="DI397">
            <v>125</v>
          </cell>
          <cell r="DJ397">
            <v>159</v>
          </cell>
          <cell r="DK397">
            <v>193</v>
          </cell>
          <cell r="DL397">
            <v>162</v>
          </cell>
          <cell r="DM397">
            <v>92</v>
          </cell>
          <cell r="DN397">
            <v>130</v>
          </cell>
          <cell r="DO397">
            <v>174</v>
          </cell>
          <cell r="DP397">
            <v>215</v>
          </cell>
          <cell r="DQ397">
            <v>253</v>
          </cell>
          <cell r="DR397">
            <v>184</v>
          </cell>
          <cell r="DS397">
            <v>245</v>
          </cell>
          <cell r="DT397">
            <v>229</v>
          </cell>
          <cell r="DU397">
            <v>274</v>
          </cell>
          <cell r="DV397">
            <v>318</v>
          </cell>
          <cell r="DW397">
            <v>186</v>
          </cell>
          <cell r="DX397">
            <v>168</v>
          </cell>
          <cell r="DY397">
            <v>153</v>
          </cell>
          <cell r="DZ397">
            <v>106</v>
          </cell>
          <cell r="EA397">
            <v>30</v>
          </cell>
          <cell r="EB397">
            <v>5</v>
          </cell>
          <cell r="EC397">
            <v>1</v>
          </cell>
        </row>
        <row r="398">
          <cell r="B398">
            <v>201</v>
          </cell>
          <cell r="C398">
            <v>15202</v>
          </cell>
          <cell r="D398">
            <v>9</v>
          </cell>
          <cell r="G398" t="str">
            <v>　　(旧 403 与板町)</v>
          </cell>
          <cell r="DF398" t="str">
            <v>-</v>
          </cell>
          <cell r="DI398">
            <v>115</v>
          </cell>
          <cell r="DJ398">
            <v>124</v>
          </cell>
          <cell r="DK398">
            <v>142</v>
          </cell>
          <cell r="DL398">
            <v>169</v>
          </cell>
          <cell r="DM398">
            <v>135</v>
          </cell>
          <cell r="DN398">
            <v>142</v>
          </cell>
          <cell r="DO398">
            <v>151</v>
          </cell>
          <cell r="DP398">
            <v>160</v>
          </cell>
          <cell r="DQ398">
            <v>222</v>
          </cell>
          <cell r="DR398">
            <v>212</v>
          </cell>
          <cell r="DS398">
            <v>208</v>
          </cell>
          <cell r="DT398">
            <v>220</v>
          </cell>
          <cell r="DU398">
            <v>267</v>
          </cell>
          <cell r="DV398">
            <v>287</v>
          </cell>
          <cell r="DW398">
            <v>181</v>
          </cell>
          <cell r="DX398">
            <v>191</v>
          </cell>
          <cell r="DY398">
            <v>112</v>
          </cell>
          <cell r="DZ398">
            <v>87</v>
          </cell>
          <cell r="EA398">
            <v>19</v>
          </cell>
          <cell r="EB398">
            <v>6</v>
          </cell>
          <cell r="EC398" t="str">
            <v>-</v>
          </cell>
        </row>
        <row r="399">
          <cell r="B399">
            <v>201</v>
          </cell>
          <cell r="C399">
            <v>15202</v>
          </cell>
          <cell r="D399">
            <v>9</v>
          </cell>
          <cell r="G399" t="str">
            <v>　　(旧 404 和島村)</v>
          </cell>
          <cell r="DF399" t="str">
            <v>-</v>
          </cell>
          <cell r="DI399">
            <v>54</v>
          </cell>
          <cell r="DJ399">
            <v>70</v>
          </cell>
          <cell r="DK399">
            <v>90</v>
          </cell>
          <cell r="DL399">
            <v>80</v>
          </cell>
          <cell r="DM399">
            <v>72</v>
          </cell>
          <cell r="DN399">
            <v>86</v>
          </cell>
          <cell r="DO399">
            <v>84</v>
          </cell>
          <cell r="DP399">
            <v>116</v>
          </cell>
          <cell r="DQ399">
            <v>115</v>
          </cell>
          <cell r="DR399">
            <v>109</v>
          </cell>
          <cell r="DS399">
            <v>124</v>
          </cell>
          <cell r="DT399">
            <v>157</v>
          </cell>
          <cell r="DU399">
            <v>207</v>
          </cell>
          <cell r="DV399">
            <v>202</v>
          </cell>
          <cell r="DW399">
            <v>125</v>
          </cell>
          <cell r="DX399">
            <v>111</v>
          </cell>
          <cell r="DY399">
            <v>94</v>
          </cell>
          <cell r="DZ399">
            <v>55</v>
          </cell>
          <cell r="EA399">
            <v>12</v>
          </cell>
          <cell r="EB399">
            <v>4</v>
          </cell>
          <cell r="EC399">
            <v>1</v>
          </cell>
        </row>
        <row r="400">
          <cell r="B400">
            <v>201</v>
          </cell>
          <cell r="C400">
            <v>15202</v>
          </cell>
          <cell r="D400">
            <v>9</v>
          </cell>
          <cell r="G400" t="str">
            <v>　　(旧 406 寺泊町)</v>
          </cell>
          <cell r="DF400" t="str">
            <v>-</v>
          </cell>
          <cell r="DI400">
            <v>122</v>
          </cell>
          <cell r="DJ400">
            <v>173</v>
          </cell>
          <cell r="DK400">
            <v>194</v>
          </cell>
          <cell r="DL400">
            <v>213</v>
          </cell>
          <cell r="DM400">
            <v>174</v>
          </cell>
          <cell r="DN400">
            <v>204</v>
          </cell>
          <cell r="DO400">
            <v>210</v>
          </cell>
          <cell r="DP400">
            <v>257</v>
          </cell>
          <cell r="DQ400">
            <v>276</v>
          </cell>
          <cell r="DR400">
            <v>281</v>
          </cell>
          <cell r="DS400">
            <v>347</v>
          </cell>
          <cell r="DT400">
            <v>404</v>
          </cell>
          <cell r="DU400">
            <v>429</v>
          </cell>
          <cell r="DV400">
            <v>412</v>
          </cell>
          <cell r="DW400">
            <v>312</v>
          </cell>
          <cell r="DX400">
            <v>282</v>
          </cell>
          <cell r="DY400">
            <v>228</v>
          </cell>
          <cell r="DZ400">
            <v>158</v>
          </cell>
          <cell r="EA400">
            <v>46</v>
          </cell>
          <cell r="EB400">
            <v>6</v>
          </cell>
          <cell r="EC400" t="str">
            <v>-</v>
          </cell>
        </row>
        <row r="401">
          <cell r="B401">
            <v>201</v>
          </cell>
          <cell r="C401">
            <v>15202</v>
          </cell>
          <cell r="D401">
            <v>9</v>
          </cell>
          <cell r="G401" t="str">
            <v>　　(旧 421 山古志村)</v>
          </cell>
          <cell r="DF401" t="str">
            <v>-</v>
          </cell>
          <cell r="DI401">
            <v>5</v>
          </cell>
          <cell r="DJ401">
            <v>14</v>
          </cell>
          <cell r="DK401">
            <v>7</v>
          </cell>
          <cell r="DL401">
            <v>20</v>
          </cell>
          <cell r="DM401">
            <v>19</v>
          </cell>
          <cell r="DN401">
            <v>7</v>
          </cell>
          <cell r="DO401">
            <v>24</v>
          </cell>
          <cell r="DP401">
            <v>16</v>
          </cell>
          <cell r="DQ401">
            <v>27</v>
          </cell>
          <cell r="DR401">
            <v>32</v>
          </cell>
          <cell r="DS401">
            <v>16</v>
          </cell>
          <cell r="DT401">
            <v>32</v>
          </cell>
          <cell r="DU401">
            <v>58</v>
          </cell>
          <cell r="DV401">
            <v>61</v>
          </cell>
          <cell r="DW401">
            <v>51</v>
          </cell>
          <cell r="DX401">
            <v>45</v>
          </cell>
          <cell r="DY401">
            <v>38</v>
          </cell>
          <cell r="DZ401">
            <v>31</v>
          </cell>
          <cell r="EA401">
            <v>6</v>
          </cell>
          <cell r="EB401" t="str">
            <v>-</v>
          </cell>
          <cell r="EC401" t="str">
            <v>-</v>
          </cell>
        </row>
        <row r="402">
          <cell r="B402">
            <v>201</v>
          </cell>
          <cell r="C402">
            <v>15202</v>
          </cell>
          <cell r="D402">
            <v>9</v>
          </cell>
          <cell r="G402" t="str">
            <v>　　(旧 441 川口町)</v>
          </cell>
          <cell r="DF402" t="str">
            <v>-</v>
          </cell>
          <cell r="DI402">
            <v>62</v>
          </cell>
          <cell r="DJ402">
            <v>87</v>
          </cell>
          <cell r="DK402">
            <v>102</v>
          </cell>
          <cell r="DL402">
            <v>83</v>
          </cell>
          <cell r="DM402">
            <v>75</v>
          </cell>
          <cell r="DN402">
            <v>77</v>
          </cell>
          <cell r="DO402">
            <v>125</v>
          </cell>
          <cell r="DP402">
            <v>146</v>
          </cell>
          <cell r="DQ402">
            <v>130</v>
          </cell>
          <cell r="DR402">
            <v>115</v>
          </cell>
          <cell r="DS402">
            <v>133</v>
          </cell>
          <cell r="DT402">
            <v>170</v>
          </cell>
          <cell r="DU402">
            <v>200</v>
          </cell>
          <cell r="DV402">
            <v>215</v>
          </cell>
          <cell r="DW402">
            <v>121</v>
          </cell>
          <cell r="DX402">
            <v>119</v>
          </cell>
          <cell r="DY402">
            <v>93</v>
          </cell>
          <cell r="DZ402">
            <v>69</v>
          </cell>
          <cell r="EA402">
            <v>22</v>
          </cell>
          <cell r="EB402">
            <v>6</v>
          </cell>
          <cell r="EC402" t="str">
            <v>-</v>
          </cell>
        </row>
        <row r="403">
          <cell r="B403">
            <v>201</v>
          </cell>
          <cell r="C403">
            <v>15202</v>
          </cell>
          <cell r="D403">
            <v>9</v>
          </cell>
          <cell r="G403" t="str">
            <v>　　(旧 502 小国町)</v>
          </cell>
          <cell r="DF403" t="str">
            <v>-</v>
          </cell>
          <cell r="DI403">
            <v>48</v>
          </cell>
          <cell r="DJ403">
            <v>68</v>
          </cell>
          <cell r="DK403">
            <v>92</v>
          </cell>
          <cell r="DL403">
            <v>99</v>
          </cell>
          <cell r="DM403">
            <v>80</v>
          </cell>
          <cell r="DN403">
            <v>97</v>
          </cell>
          <cell r="DO403">
            <v>110</v>
          </cell>
          <cell r="DP403">
            <v>99</v>
          </cell>
          <cell r="DQ403">
            <v>126</v>
          </cell>
          <cell r="DR403">
            <v>149</v>
          </cell>
          <cell r="DS403">
            <v>168</v>
          </cell>
          <cell r="DT403">
            <v>241</v>
          </cell>
          <cell r="DU403">
            <v>263</v>
          </cell>
          <cell r="DV403">
            <v>233</v>
          </cell>
          <cell r="DW403">
            <v>179</v>
          </cell>
          <cell r="DX403">
            <v>200</v>
          </cell>
          <cell r="DY403">
            <v>171</v>
          </cell>
          <cell r="DZ403">
            <v>131</v>
          </cell>
          <cell r="EA403">
            <v>30</v>
          </cell>
          <cell r="EB403">
            <v>9</v>
          </cell>
          <cell r="EC403">
            <v>2</v>
          </cell>
        </row>
        <row r="404">
          <cell r="B404">
            <v>201</v>
          </cell>
          <cell r="C404">
            <v>15204</v>
          </cell>
          <cell r="D404">
            <v>2</v>
          </cell>
          <cell r="G404" t="str">
            <v>三条市</v>
          </cell>
          <cell r="DF404">
            <v>138</v>
          </cell>
          <cell r="DI404">
            <v>1847</v>
          </cell>
          <cell r="DJ404">
            <v>2003</v>
          </cell>
          <cell r="DK404">
            <v>2294</v>
          </cell>
          <cell r="DL404">
            <v>2356</v>
          </cell>
          <cell r="DM404">
            <v>1912</v>
          </cell>
          <cell r="DN404">
            <v>2311</v>
          </cell>
          <cell r="DO404">
            <v>2575</v>
          </cell>
          <cell r="DP404">
            <v>3113</v>
          </cell>
          <cell r="DQ404">
            <v>3451</v>
          </cell>
          <cell r="DR404">
            <v>3180</v>
          </cell>
          <cell r="DS404">
            <v>3084</v>
          </cell>
          <cell r="DT404">
            <v>3265</v>
          </cell>
          <cell r="DU404">
            <v>3809</v>
          </cell>
          <cell r="DV404">
            <v>4023</v>
          </cell>
          <cell r="DW404">
            <v>2835</v>
          </cell>
          <cell r="DX404">
            <v>2571</v>
          </cell>
          <cell r="DY404">
            <v>1929</v>
          </cell>
          <cell r="DZ404">
            <v>981</v>
          </cell>
          <cell r="EA404">
            <v>346</v>
          </cell>
          <cell r="EB404">
            <v>66</v>
          </cell>
          <cell r="EC404">
            <v>5</v>
          </cell>
        </row>
        <row r="405">
          <cell r="B405">
            <v>201</v>
          </cell>
          <cell r="C405">
            <v>15204</v>
          </cell>
          <cell r="D405">
            <v>9</v>
          </cell>
          <cell r="G405" t="str">
            <v>　　(旧 204 三条市)</v>
          </cell>
          <cell r="DF405">
            <v>133</v>
          </cell>
          <cell r="DI405">
            <v>1474</v>
          </cell>
          <cell r="DJ405">
            <v>1598</v>
          </cell>
          <cell r="DK405">
            <v>1810</v>
          </cell>
          <cell r="DL405">
            <v>1898</v>
          </cell>
          <cell r="DM405">
            <v>1510</v>
          </cell>
          <cell r="DN405">
            <v>1881</v>
          </cell>
          <cell r="DO405">
            <v>2092</v>
          </cell>
          <cell r="DP405">
            <v>2485</v>
          </cell>
          <cell r="DQ405">
            <v>2841</v>
          </cell>
          <cell r="DR405">
            <v>2626</v>
          </cell>
          <cell r="DS405">
            <v>2489</v>
          </cell>
          <cell r="DT405">
            <v>2525</v>
          </cell>
          <cell r="DU405">
            <v>2848</v>
          </cell>
          <cell r="DV405">
            <v>3142</v>
          </cell>
          <cell r="DW405">
            <v>2279</v>
          </cell>
          <cell r="DX405">
            <v>2063</v>
          </cell>
          <cell r="DY405">
            <v>1514</v>
          </cell>
          <cell r="DZ405">
            <v>729</v>
          </cell>
          <cell r="EA405">
            <v>263</v>
          </cell>
          <cell r="EB405">
            <v>52</v>
          </cell>
          <cell r="EC405">
            <v>3</v>
          </cell>
        </row>
        <row r="406">
          <cell r="B406">
            <v>201</v>
          </cell>
          <cell r="C406">
            <v>15204</v>
          </cell>
          <cell r="D406">
            <v>9</v>
          </cell>
          <cell r="G406" t="str">
            <v>　　(旧 362 下田村)</v>
          </cell>
          <cell r="DF406">
            <v>2</v>
          </cell>
          <cell r="DI406">
            <v>172</v>
          </cell>
          <cell r="DJ406">
            <v>174</v>
          </cell>
          <cell r="DK406">
            <v>226</v>
          </cell>
          <cell r="DL406">
            <v>195</v>
          </cell>
          <cell r="DM406">
            <v>181</v>
          </cell>
          <cell r="DN406">
            <v>186</v>
          </cell>
          <cell r="DO406">
            <v>211</v>
          </cell>
          <cell r="DP406">
            <v>285</v>
          </cell>
          <cell r="DQ406">
            <v>233</v>
          </cell>
          <cell r="DR406">
            <v>254</v>
          </cell>
          <cell r="DS406">
            <v>270</v>
          </cell>
          <cell r="DT406">
            <v>336</v>
          </cell>
          <cell r="DU406">
            <v>474</v>
          </cell>
          <cell r="DV406">
            <v>418</v>
          </cell>
          <cell r="DW406">
            <v>273</v>
          </cell>
          <cell r="DX406">
            <v>254</v>
          </cell>
          <cell r="DY406">
            <v>222</v>
          </cell>
          <cell r="DZ406">
            <v>127</v>
          </cell>
          <cell r="EA406">
            <v>41</v>
          </cell>
          <cell r="EB406">
            <v>5</v>
          </cell>
          <cell r="EC406">
            <v>2</v>
          </cell>
        </row>
        <row r="407">
          <cell r="B407">
            <v>201</v>
          </cell>
          <cell r="C407">
            <v>15204</v>
          </cell>
          <cell r="D407">
            <v>9</v>
          </cell>
          <cell r="G407" t="str">
            <v>　　(旧 363 栄町)</v>
          </cell>
          <cell r="DF407">
            <v>3</v>
          </cell>
          <cell r="DI407">
            <v>201</v>
          </cell>
          <cell r="DJ407">
            <v>231</v>
          </cell>
          <cell r="DK407">
            <v>258</v>
          </cell>
          <cell r="DL407">
            <v>263</v>
          </cell>
          <cell r="DM407">
            <v>221</v>
          </cell>
          <cell r="DN407">
            <v>244</v>
          </cell>
          <cell r="DO407">
            <v>272</v>
          </cell>
          <cell r="DP407">
            <v>343</v>
          </cell>
          <cell r="DQ407">
            <v>377</v>
          </cell>
          <cell r="DR407">
            <v>300</v>
          </cell>
          <cell r="DS407">
            <v>325</v>
          </cell>
          <cell r="DT407">
            <v>404</v>
          </cell>
          <cell r="DU407">
            <v>487</v>
          </cell>
          <cell r="DV407">
            <v>463</v>
          </cell>
          <cell r="DW407">
            <v>283</v>
          </cell>
          <cell r="DX407">
            <v>254</v>
          </cell>
          <cell r="DY407">
            <v>193</v>
          </cell>
          <cell r="DZ407">
            <v>125</v>
          </cell>
          <cell r="EA407">
            <v>42</v>
          </cell>
          <cell r="EB407">
            <v>9</v>
          </cell>
          <cell r="EC407" t="str">
            <v>-</v>
          </cell>
        </row>
        <row r="408">
          <cell r="B408">
            <v>201</v>
          </cell>
          <cell r="C408">
            <v>15205</v>
          </cell>
          <cell r="D408">
            <v>2</v>
          </cell>
          <cell r="G408" t="str">
            <v>柏崎市</v>
          </cell>
          <cell r="DF408">
            <v>322</v>
          </cell>
          <cell r="DI408">
            <v>1528</v>
          </cell>
          <cell r="DJ408">
            <v>1719</v>
          </cell>
          <cell r="DK408">
            <v>1928</v>
          </cell>
          <cell r="DL408">
            <v>1934</v>
          </cell>
          <cell r="DM408">
            <v>1659</v>
          </cell>
          <cell r="DN408">
            <v>2151</v>
          </cell>
          <cell r="DO408">
            <v>2364</v>
          </cell>
          <cell r="DP408">
            <v>2698</v>
          </cell>
          <cell r="DQ408">
            <v>2986</v>
          </cell>
          <cell r="DR408">
            <v>2865</v>
          </cell>
          <cell r="DS408">
            <v>2952</v>
          </cell>
          <cell r="DT408">
            <v>3092</v>
          </cell>
          <cell r="DU408">
            <v>3403</v>
          </cell>
          <cell r="DV408">
            <v>3642</v>
          </cell>
          <cell r="DW408">
            <v>2563</v>
          </cell>
          <cell r="DX408">
            <v>2067</v>
          </cell>
          <cell r="DY408">
            <v>1741</v>
          </cell>
          <cell r="DZ408">
            <v>1048</v>
          </cell>
          <cell r="EA408">
            <v>365</v>
          </cell>
          <cell r="EB408">
            <v>64</v>
          </cell>
          <cell r="EC408">
            <v>7</v>
          </cell>
        </row>
        <row r="409">
          <cell r="B409">
            <v>201</v>
          </cell>
          <cell r="C409">
            <v>15205</v>
          </cell>
          <cell r="D409">
            <v>9</v>
          </cell>
          <cell r="G409" t="str">
            <v>　　(旧 205 柏崎市)</v>
          </cell>
          <cell r="DF409">
            <v>315</v>
          </cell>
          <cell r="DI409">
            <v>1437</v>
          </cell>
          <cell r="DJ409">
            <v>1609</v>
          </cell>
          <cell r="DK409">
            <v>1807</v>
          </cell>
          <cell r="DL409">
            <v>1831</v>
          </cell>
          <cell r="DM409">
            <v>1573</v>
          </cell>
          <cell r="DN409">
            <v>2044</v>
          </cell>
          <cell r="DO409">
            <v>2203</v>
          </cell>
          <cell r="DP409">
            <v>2522</v>
          </cell>
          <cell r="DQ409">
            <v>2813</v>
          </cell>
          <cell r="DR409">
            <v>2677</v>
          </cell>
          <cell r="DS409">
            <v>2730</v>
          </cell>
          <cell r="DT409">
            <v>2850</v>
          </cell>
          <cell r="DU409">
            <v>3068</v>
          </cell>
          <cell r="DV409">
            <v>3293</v>
          </cell>
          <cell r="DW409">
            <v>2288</v>
          </cell>
          <cell r="DX409">
            <v>1836</v>
          </cell>
          <cell r="DY409">
            <v>1512</v>
          </cell>
          <cell r="DZ409">
            <v>907</v>
          </cell>
          <cell r="EA409">
            <v>311</v>
          </cell>
          <cell r="EB409">
            <v>58</v>
          </cell>
          <cell r="EC409">
            <v>7</v>
          </cell>
        </row>
        <row r="410">
          <cell r="B410">
            <v>201</v>
          </cell>
          <cell r="C410">
            <v>15205</v>
          </cell>
          <cell r="D410">
            <v>9</v>
          </cell>
          <cell r="G410" t="str">
            <v>　　(旧 501 高柳町)</v>
          </cell>
          <cell r="DF410">
            <v>2</v>
          </cell>
          <cell r="DI410">
            <v>6</v>
          </cell>
          <cell r="DJ410">
            <v>7</v>
          </cell>
          <cell r="DK410">
            <v>24</v>
          </cell>
          <cell r="DL410">
            <v>16</v>
          </cell>
          <cell r="DM410">
            <v>8</v>
          </cell>
          <cell r="DN410">
            <v>10</v>
          </cell>
          <cell r="DO410">
            <v>18</v>
          </cell>
          <cell r="DP410">
            <v>30</v>
          </cell>
          <cell r="DQ410">
            <v>26</v>
          </cell>
          <cell r="DR410">
            <v>34</v>
          </cell>
          <cell r="DS410">
            <v>38</v>
          </cell>
          <cell r="DT410">
            <v>53</v>
          </cell>
          <cell r="DU410">
            <v>78</v>
          </cell>
          <cell r="DV410">
            <v>72</v>
          </cell>
          <cell r="DW410">
            <v>64</v>
          </cell>
          <cell r="DX410">
            <v>82</v>
          </cell>
          <cell r="DY410">
            <v>76</v>
          </cell>
          <cell r="DZ410">
            <v>50</v>
          </cell>
          <cell r="EA410">
            <v>13</v>
          </cell>
          <cell r="EB410">
            <v>3</v>
          </cell>
          <cell r="EC410" t="str">
            <v>-</v>
          </cell>
        </row>
        <row r="411">
          <cell r="B411">
            <v>201</v>
          </cell>
          <cell r="C411">
            <v>15205</v>
          </cell>
          <cell r="D411">
            <v>9</v>
          </cell>
          <cell r="G411" t="str">
            <v>　　(旧 505 西山町)</v>
          </cell>
          <cell r="DF411">
            <v>5</v>
          </cell>
          <cell r="DI411">
            <v>85</v>
          </cell>
          <cell r="DJ411">
            <v>103</v>
          </cell>
          <cell r="DK411">
            <v>97</v>
          </cell>
          <cell r="DL411">
            <v>87</v>
          </cell>
          <cell r="DM411">
            <v>78</v>
          </cell>
          <cell r="DN411">
            <v>97</v>
          </cell>
          <cell r="DO411">
            <v>143</v>
          </cell>
          <cell r="DP411">
            <v>146</v>
          </cell>
          <cell r="DQ411">
            <v>147</v>
          </cell>
          <cell r="DR411">
            <v>154</v>
          </cell>
          <cell r="DS411">
            <v>184</v>
          </cell>
          <cell r="DT411">
            <v>189</v>
          </cell>
          <cell r="DU411">
            <v>257</v>
          </cell>
          <cell r="DV411">
            <v>277</v>
          </cell>
          <cell r="DW411">
            <v>211</v>
          </cell>
          <cell r="DX411">
            <v>149</v>
          </cell>
          <cell r="DY411">
            <v>153</v>
          </cell>
          <cell r="DZ411">
            <v>91</v>
          </cell>
          <cell r="EA411">
            <v>41</v>
          </cell>
          <cell r="EB411">
            <v>3</v>
          </cell>
          <cell r="EC411" t="str">
            <v>-</v>
          </cell>
        </row>
        <row r="412">
          <cell r="B412">
            <v>201</v>
          </cell>
          <cell r="C412">
            <v>15206</v>
          </cell>
          <cell r="D412">
            <v>2</v>
          </cell>
          <cell r="G412" t="str">
            <v>新発田市</v>
          </cell>
          <cell r="DF412">
            <v>142</v>
          </cell>
          <cell r="DI412">
            <v>1895</v>
          </cell>
          <cell r="DJ412">
            <v>2011</v>
          </cell>
          <cell r="DK412">
            <v>2113</v>
          </cell>
          <cell r="DL412">
            <v>2272</v>
          </cell>
          <cell r="DM412">
            <v>2126</v>
          </cell>
          <cell r="DN412">
            <v>2499</v>
          </cell>
          <cell r="DO412">
            <v>2720</v>
          </cell>
          <cell r="DP412">
            <v>3063</v>
          </cell>
          <cell r="DQ412">
            <v>3248</v>
          </cell>
          <cell r="DR412">
            <v>2932</v>
          </cell>
          <cell r="DS412">
            <v>3073</v>
          </cell>
          <cell r="DT412">
            <v>3452</v>
          </cell>
          <cell r="DU412">
            <v>3793</v>
          </cell>
          <cell r="DV412">
            <v>3967</v>
          </cell>
          <cell r="DW412">
            <v>2542</v>
          </cell>
          <cell r="DX412">
            <v>2272</v>
          </cell>
          <cell r="DY412">
            <v>1858</v>
          </cell>
          <cell r="DZ412">
            <v>1078</v>
          </cell>
          <cell r="EA412">
            <v>297</v>
          </cell>
          <cell r="EB412">
            <v>52</v>
          </cell>
          <cell r="EC412">
            <v>7</v>
          </cell>
        </row>
        <row r="413">
          <cell r="B413">
            <v>201</v>
          </cell>
          <cell r="C413">
            <v>15206</v>
          </cell>
          <cell r="D413">
            <v>9</v>
          </cell>
          <cell r="G413" t="str">
            <v>　　(旧 206 新発田市)</v>
          </cell>
          <cell r="DF413">
            <v>136</v>
          </cell>
          <cell r="DI413">
            <v>1511</v>
          </cell>
          <cell r="DJ413">
            <v>1568</v>
          </cell>
          <cell r="DK413">
            <v>1691</v>
          </cell>
          <cell r="DL413">
            <v>1802</v>
          </cell>
          <cell r="DM413">
            <v>1725</v>
          </cell>
          <cell r="DN413">
            <v>1993</v>
          </cell>
          <cell r="DO413">
            <v>2110</v>
          </cell>
          <cell r="DP413">
            <v>2427</v>
          </cell>
          <cell r="DQ413">
            <v>2618</v>
          </cell>
          <cell r="DR413">
            <v>2382</v>
          </cell>
          <cell r="DS413">
            <v>2391</v>
          </cell>
          <cell r="DT413">
            <v>2551</v>
          </cell>
          <cell r="DU413">
            <v>2806</v>
          </cell>
          <cell r="DV413">
            <v>3002</v>
          </cell>
          <cell r="DW413">
            <v>2003</v>
          </cell>
          <cell r="DX413">
            <v>1728</v>
          </cell>
          <cell r="DY413">
            <v>1404</v>
          </cell>
          <cell r="DZ413">
            <v>793</v>
          </cell>
          <cell r="EA413">
            <v>204</v>
          </cell>
          <cell r="EB413">
            <v>38</v>
          </cell>
          <cell r="EC413">
            <v>7</v>
          </cell>
        </row>
        <row r="414">
          <cell r="B414">
            <v>201</v>
          </cell>
          <cell r="C414">
            <v>15206</v>
          </cell>
          <cell r="D414">
            <v>9</v>
          </cell>
          <cell r="G414" t="str">
            <v>　　(旧 306 豊浦町)</v>
          </cell>
          <cell r="DF414">
            <v>5</v>
          </cell>
          <cell r="DI414">
            <v>152</v>
          </cell>
          <cell r="DJ414">
            <v>184</v>
          </cell>
          <cell r="DK414">
            <v>171</v>
          </cell>
          <cell r="DL414">
            <v>183</v>
          </cell>
          <cell r="DM414">
            <v>163</v>
          </cell>
          <cell r="DN414">
            <v>190</v>
          </cell>
          <cell r="DO414">
            <v>215</v>
          </cell>
          <cell r="DP414">
            <v>257</v>
          </cell>
          <cell r="DQ414">
            <v>258</v>
          </cell>
          <cell r="DR414">
            <v>216</v>
          </cell>
          <cell r="DS414">
            <v>284</v>
          </cell>
          <cell r="DT414">
            <v>339</v>
          </cell>
          <cell r="DU414">
            <v>364</v>
          </cell>
          <cell r="DV414">
            <v>371</v>
          </cell>
          <cell r="DW414">
            <v>214</v>
          </cell>
          <cell r="DX414">
            <v>222</v>
          </cell>
          <cell r="DY414">
            <v>194</v>
          </cell>
          <cell r="DZ414">
            <v>133</v>
          </cell>
          <cell r="EA414">
            <v>44</v>
          </cell>
          <cell r="EB414">
            <v>8</v>
          </cell>
          <cell r="EC414" t="str">
            <v>-</v>
          </cell>
        </row>
        <row r="415">
          <cell r="B415">
            <v>201</v>
          </cell>
          <cell r="C415">
            <v>15206</v>
          </cell>
          <cell r="D415">
            <v>9</v>
          </cell>
          <cell r="G415" t="str">
            <v>　　(旧 308 加治川村)</v>
          </cell>
          <cell r="DF415">
            <v>1</v>
          </cell>
          <cell r="DI415">
            <v>88</v>
          </cell>
          <cell r="DJ415">
            <v>109</v>
          </cell>
          <cell r="DK415">
            <v>103</v>
          </cell>
          <cell r="DL415">
            <v>122</v>
          </cell>
          <cell r="DM415">
            <v>107</v>
          </cell>
          <cell r="DN415">
            <v>150</v>
          </cell>
          <cell r="DO415">
            <v>183</v>
          </cell>
          <cell r="DP415">
            <v>167</v>
          </cell>
          <cell r="DQ415">
            <v>182</v>
          </cell>
          <cell r="DR415">
            <v>151</v>
          </cell>
          <cell r="DS415">
            <v>175</v>
          </cell>
          <cell r="DT415">
            <v>291</v>
          </cell>
          <cell r="DU415">
            <v>324</v>
          </cell>
          <cell r="DV415">
            <v>272</v>
          </cell>
          <cell r="DW415">
            <v>153</v>
          </cell>
          <cell r="DX415">
            <v>152</v>
          </cell>
          <cell r="DY415">
            <v>113</v>
          </cell>
          <cell r="DZ415">
            <v>75</v>
          </cell>
          <cell r="EA415">
            <v>19</v>
          </cell>
          <cell r="EB415">
            <v>4</v>
          </cell>
          <cell r="EC415" t="str">
            <v>-</v>
          </cell>
        </row>
        <row r="416">
          <cell r="B416">
            <v>201</v>
          </cell>
          <cell r="C416">
            <v>15206</v>
          </cell>
          <cell r="D416">
            <v>9</v>
          </cell>
          <cell r="G416" t="str">
            <v>　　(旧 309 紫雲寺町)</v>
          </cell>
          <cell r="DF416" t="str">
            <v>-</v>
          </cell>
          <cell r="DI416">
            <v>144</v>
          </cell>
          <cell r="DJ416">
            <v>150</v>
          </cell>
          <cell r="DK416">
            <v>148</v>
          </cell>
          <cell r="DL416">
            <v>165</v>
          </cell>
          <cell r="DM416">
            <v>131</v>
          </cell>
          <cell r="DN416">
            <v>166</v>
          </cell>
          <cell r="DO416">
            <v>212</v>
          </cell>
          <cell r="DP416">
            <v>212</v>
          </cell>
          <cell r="DQ416">
            <v>190</v>
          </cell>
          <cell r="DR416">
            <v>183</v>
          </cell>
          <cell r="DS416">
            <v>223</v>
          </cell>
          <cell r="DT416">
            <v>271</v>
          </cell>
          <cell r="DU416">
            <v>299</v>
          </cell>
          <cell r="DV416">
            <v>322</v>
          </cell>
          <cell r="DW416">
            <v>172</v>
          </cell>
          <cell r="DX416">
            <v>170</v>
          </cell>
          <cell r="DY416">
            <v>147</v>
          </cell>
          <cell r="DZ416">
            <v>77</v>
          </cell>
          <cell r="EA416">
            <v>30</v>
          </cell>
          <cell r="EB416">
            <v>2</v>
          </cell>
          <cell r="EC416" t="str">
            <v>-</v>
          </cell>
        </row>
        <row r="417">
          <cell r="B417">
            <v>201</v>
          </cell>
          <cell r="C417">
            <v>15208</v>
          </cell>
          <cell r="D417">
            <v>2</v>
          </cell>
          <cell r="G417" t="str">
            <v>小千谷市</v>
          </cell>
          <cell r="DF417">
            <v>41</v>
          </cell>
          <cell r="DI417">
            <v>641</v>
          </cell>
          <cell r="DJ417">
            <v>783</v>
          </cell>
          <cell r="DK417">
            <v>822</v>
          </cell>
          <cell r="DL417">
            <v>874</v>
          </cell>
          <cell r="DM417">
            <v>592</v>
          </cell>
          <cell r="DN417">
            <v>813</v>
          </cell>
          <cell r="DO417">
            <v>958</v>
          </cell>
          <cell r="DP417">
            <v>1192</v>
          </cell>
          <cell r="DQ417">
            <v>1255</v>
          </cell>
          <cell r="DR417">
            <v>1227</v>
          </cell>
          <cell r="DS417">
            <v>1035</v>
          </cell>
          <cell r="DT417">
            <v>1149</v>
          </cell>
          <cell r="DU417">
            <v>1461</v>
          </cell>
          <cell r="DV417">
            <v>1573</v>
          </cell>
          <cell r="DW417">
            <v>1104</v>
          </cell>
          <cell r="DX417">
            <v>986</v>
          </cell>
          <cell r="DY417">
            <v>827</v>
          </cell>
          <cell r="DZ417">
            <v>471</v>
          </cell>
          <cell r="EA417">
            <v>153</v>
          </cell>
          <cell r="EB417">
            <v>33</v>
          </cell>
          <cell r="EC417">
            <v>8</v>
          </cell>
        </row>
        <row r="418">
          <cell r="B418">
            <v>201</v>
          </cell>
          <cell r="C418">
            <v>15209</v>
          </cell>
          <cell r="D418">
            <v>2</v>
          </cell>
          <cell r="G418" t="str">
            <v>加茂市</v>
          </cell>
          <cell r="DF418">
            <v>31</v>
          </cell>
          <cell r="DI418">
            <v>442</v>
          </cell>
          <cell r="DJ418">
            <v>479</v>
          </cell>
          <cell r="DK418">
            <v>600</v>
          </cell>
          <cell r="DL418">
            <v>676</v>
          </cell>
          <cell r="DM418">
            <v>537</v>
          </cell>
          <cell r="DN418">
            <v>586</v>
          </cell>
          <cell r="DO418">
            <v>631</v>
          </cell>
          <cell r="DP418">
            <v>799</v>
          </cell>
          <cell r="DQ418">
            <v>877</v>
          </cell>
          <cell r="DR418">
            <v>853</v>
          </cell>
          <cell r="DS418">
            <v>882</v>
          </cell>
          <cell r="DT418">
            <v>1004</v>
          </cell>
          <cell r="DU418">
            <v>1159</v>
          </cell>
          <cell r="DV418">
            <v>1211</v>
          </cell>
          <cell r="DW418">
            <v>908</v>
          </cell>
          <cell r="DX418">
            <v>738</v>
          </cell>
          <cell r="DY418">
            <v>608</v>
          </cell>
          <cell r="DZ418">
            <v>306</v>
          </cell>
          <cell r="EA418">
            <v>100</v>
          </cell>
          <cell r="EB418">
            <v>19</v>
          </cell>
          <cell r="EC418">
            <v>1</v>
          </cell>
        </row>
        <row r="419">
          <cell r="B419">
            <v>201</v>
          </cell>
          <cell r="C419">
            <v>15210</v>
          </cell>
          <cell r="D419">
            <v>2</v>
          </cell>
          <cell r="G419" t="str">
            <v>十日町市</v>
          </cell>
          <cell r="DF419">
            <v>34</v>
          </cell>
          <cell r="DI419">
            <v>914</v>
          </cell>
          <cell r="DJ419">
            <v>1083</v>
          </cell>
          <cell r="DK419">
            <v>1237</v>
          </cell>
          <cell r="DL419">
            <v>1082</v>
          </cell>
          <cell r="DM419">
            <v>743</v>
          </cell>
          <cell r="DN419">
            <v>1012</v>
          </cell>
          <cell r="DO419">
            <v>1220</v>
          </cell>
          <cell r="DP419">
            <v>1503</v>
          </cell>
          <cell r="DQ419">
            <v>1713</v>
          </cell>
          <cell r="DR419">
            <v>1625</v>
          </cell>
          <cell r="DS419">
            <v>1647</v>
          </cell>
          <cell r="DT419">
            <v>1937</v>
          </cell>
          <cell r="DU419">
            <v>2358</v>
          </cell>
          <cell r="DV419">
            <v>2423</v>
          </cell>
          <cell r="DW419">
            <v>1850</v>
          </cell>
          <cell r="DX419">
            <v>1651</v>
          </cell>
          <cell r="DY419">
            <v>1443</v>
          </cell>
          <cell r="DZ419">
            <v>790</v>
          </cell>
          <cell r="EA419">
            <v>309</v>
          </cell>
          <cell r="EB419">
            <v>60</v>
          </cell>
          <cell r="EC419">
            <v>8</v>
          </cell>
        </row>
        <row r="420">
          <cell r="B420">
            <v>201</v>
          </cell>
          <cell r="C420">
            <v>15210</v>
          </cell>
          <cell r="D420">
            <v>9</v>
          </cell>
          <cell r="G420" t="str">
            <v>　　(旧 210 十日町市)</v>
          </cell>
          <cell r="DF420">
            <v>32</v>
          </cell>
          <cell r="DI420">
            <v>697</v>
          </cell>
          <cell r="DJ420">
            <v>794</v>
          </cell>
          <cell r="DK420">
            <v>842</v>
          </cell>
          <cell r="DL420">
            <v>770</v>
          </cell>
          <cell r="DM420">
            <v>535</v>
          </cell>
          <cell r="DN420">
            <v>738</v>
          </cell>
          <cell r="DO420">
            <v>885</v>
          </cell>
          <cell r="DP420">
            <v>1081</v>
          </cell>
          <cell r="DQ420">
            <v>1274</v>
          </cell>
          <cell r="DR420">
            <v>1163</v>
          </cell>
          <cell r="DS420">
            <v>1123</v>
          </cell>
          <cell r="DT420">
            <v>1308</v>
          </cell>
          <cell r="DU420">
            <v>1559</v>
          </cell>
          <cell r="DV420">
            <v>1624</v>
          </cell>
          <cell r="DW420">
            <v>1299</v>
          </cell>
          <cell r="DX420">
            <v>1076</v>
          </cell>
          <cell r="DY420">
            <v>862</v>
          </cell>
          <cell r="DZ420">
            <v>475</v>
          </cell>
          <cell r="EA420">
            <v>177</v>
          </cell>
          <cell r="EB420">
            <v>42</v>
          </cell>
          <cell r="EC420">
            <v>6</v>
          </cell>
        </row>
        <row r="421">
          <cell r="B421">
            <v>201</v>
          </cell>
          <cell r="C421">
            <v>15210</v>
          </cell>
          <cell r="D421">
            <v>9</v>
          </cell>
          <cell r="G421" t="str">
            <v>　　(旧 481 川西町)</v>
          </cell>
          <cell r="DF421" t="str">
            <v>-</v>
          </cell>
          <cell r="DI421">
            <v>101</v>
          </cell>
          <cell r="DJ421">
            <v>113</v>
          </cell>
          <cell r="DK421">
            <v>165</v>
          </cell>
          <cell r="DL421">
            <v>124</v>
          </cell>
          <cell r="DM421">
            <v>88</v>
          </cell>
          <cell r="DN421">
            <v>108</v>
          </cell>
          <cell r="DO421">
            <v>142</v>
          </cell>
          <cell r="DP421">
            <v>182</v>
          </cell>
          <cell r="DQ421">
            <v>184</v>
          </cell>
          <cell r="DR421">
            <v>199</v>
          </cell>
          <cell r="DS421">
            <v>204</v>
          </cell>
          <cell r="DT421">
            <v>219</v>
          </cell>
          <cell r="DU421">
            <v>300</v>
          </cell>
          <cell r="DV421">
            <v>317</v>
          </cell>
          <cell r="DW421">
            <v>216</v>
          </cell>
          <cell r="DX421">
            <v>223</v>
          </cell>
          <cell r="DY421">
            <v>173</v>
          </cell>
          <cell r="DZ421">
            <v>113</v>
          </cell>
          <cell r="EA421">
            <v>51</v>
          </cell>
          <cell r="EB421">
            <v>5</v>
          </cell>
          <cell r="EC421" t="str">
            <v>-</v>
          </cell>
        </row>
        <row r="422">
          <cell r="B422">
            <v>201</v>
          </cell>
          <cell r="C422">
            <v>15210</v>
          </cell>
          <cell r="D422">
            <v>9</v>
          </cell>
          <cell r="G422" t="str">
            <v>　　(旧 483 中里村)</v>
          </cell>
          <cell r="DF422">
            <v>2</v>
          </cell>
          <cell r="DI422">
            <v>71</v>
          </cell>
          <cell r="DJ422">
            <v>98</v>
          </cell>
          <cell r="DK422">
            <v>136</v>
          </cell>
          <cell r="DL422">
            <v>113</v>
          </cell>
          <cell r="DM422">
            <v>73</v>
          </cell>
          <cell r="DN422">
            <v>89</v>
          </cell>
          <cell r="DO422">
            <v>107</v>
          </cell>
          <cell r="DP422">
            <v>120</v>
          </cell>
          <cell r="DQ422">
            <v>138</v>
          </cell>
          <cell r="DR422">
            <v>156</v>
          </cell>
          <cell r="DS422">
            <v>185</v>
          </cell>
          <cell r="DT422">
            <v>216</v>
          </cell>
          <cell r="DU422">
            <v>240</v>
          </cell>
          <cell r="DV422">
            <v>210</v>
          </cell>
          <cell r="DW422">
            <v>153</v>
          </cell>
          <cell r="DX422">
            <v>134</v>
          </cell>
          <cell r="DY422">
            <v>168</v>
          </cell>
          <cell r="DZ422">
            <v>86</v>
          </cell>
          <cell r="EA422">
            <v>31</v>
          </cell>
          <cell r="EB422">
            <v>7</v>
          </cell>
          <cell r="EC422" t="str">
            <v>-</v>
          </cell>
        </row>
        <row r="423">
          <cell r="B423">
            <v>201</v>
          </cell>
          <cell r="C423">
            <v>15210</v>
          </cell>
          <cell r="D423">
            <v>9</v>
          </cell>
          <cell r="G423" t="str">
            <v>　　(旧 523 松代町)</v>
          </cell>
          <cell r="DF423" t="str">
            <v>-</v>
          </cell>
          <cell r="DI423">
            <v>27</v>
          </cell>
          <cell r="DJ423">
            <v>54</v>
          </cell>
          <cell r="DK423">
            <v>55</v>
          </cell>
          <cell r="DL423">
            <v>45</v>
          </cell>
          <cell r="DM423">
            <v>34</v>
          </cell>
          <cell r="DN423">
            <v>51</v>
          </cell>
          <cell r="DO423">
            <v>54</v>
          </cell>
          <cell r="DP423">
            <v>73</v>
          </cell>
          <cell r="DQ423">
            <v>68</v>
          </cell>
          <cell r="DR423">
            <v>73</v>
          </cell>
          <cell r="DS423">
            <v>77</v>
          </cell>
          <cell r="DT423">
            <v>116</v>
          </cell>
          <cell r="DU423">
            <v>158</v>
          </cell>
          <cell r="DV423">
            <v>153</v>
          </cell>
          <cell r="DW423">
            <v>112</v>
          </cell>
          <cell r="DX423">
            <v>137</v>
          </cell>
          <cell r="DY423">
            <v>131</v>
          </cell>
          <cell r="DZ423">
            <v>61</v>
          </cell>
          <cell r="EA423">
            <v>24</v>
          </cell>
          <cell r="EB423">
            <v>3</v>
          </cell>
          <cell r="EC423">
            <v>2</v>
          </cell>
        </row>
        <row r="424">
          <cell r="B424">
            <v>201</v>
          </cell>
          <cell r="C424">
            <v>15210</v>
          </cell>
          <cell r="D424">
            <v>9</v>
          </cell>
          <cell r="G424" t="str">
            <v>　　(旧 524 松之山町)</v>
          </cell>
          <cell r="DF424" t="str">
            <v>-</v>
          </cell>
          <cell r="DI424">
            <v>18</v>
          </cell>
          <cell r="DJ424">
            <v>24</v>
          </cell>
          <cell r="DK424">
            <v>39</v>
          </cell>
          <cell r="DL424">
            <v>30</v>
          </cell>
          <cell r="DM424">
            <v>13</v>
          </cell>
          <cell r="DN424">
            <v>26</v>
          </cell>
          <cell r="DO424">
            <v>32</v>
          </cell>
          <cell r="DP424">
            <v>47</v>
          </cell>
          <cell r="DQ424">
            <v>49</v>
          </cell>
          <cell r="DR424">
            <v>34</v>
          </cell>
          <cell r="DS424">
            <v>58</v>
          </cell>
          <cell r="DT424">
            <v>78</v>
          </cell>
          <cell r="DU424">
            <v>101</v>
          </cell>
          <cell r="DV424">
            <v>119</v>
          </cell>
          <cell r="DW424">
            <v>70</v>
          </cell>
          <cell r="DX424">
            <v>81</v>
          </cell>
          <cell r="DY424">
            <v>109</v>
          </cell>
          <cell r="DZ424">
            <v>55</v>
          </cell>
          <cell r="EA424">
            <v>26</v>
          </cell>
          <cell r="EB424">
            <v>3</v>
          </cell>
          <cell r="EC424" t="str">
            <v>-</v>
          </cell>
        </row>
        <row r="425">
          <cell r="B425">
            <v>201</v>
          </cell>
          <cell r="C425">
            <v>15211</v>
          </cell>
          <cell r="D425">
            <v>2</v>
          </cell>
          <cell r="G425" t="str">
            <v>見附市</v>
          </cell>
          <cell r="DF425">
            <v>35</v>
          </cell>
          <cell r="DI425">
            <v>770</v>
          </cell>
          <cell r="DJ425">
            <v>794</v>
          </cell>
          <cell r="DK425">
            <v>952</v>
          </cell>
          <cell r="DL425">
            <v>923</v>
          </cell>
          <cell r="DM425">
            <v>716</v>
          </cell>
          <cell r="DN425">
            <v>918</v>
          </cell>
          <cell r="DO425">
            <v>1095</v>
          </cell>
          <cell r="DP425">
            <v>1275</v>
          </cell>
          <cell r="DQ425">
            <v>1401</v>
          </cell>
          <cell r="DR425">
            <v>1221</v>
          </cell>
          <cell r="DS425">
            <v>1288</v>
          </cell>
          <cell r="DT425">
            <v>1426</v>
          </cell>
          <cell r="DU425">
            <v>1516</v>
          </cell>
          <cell r="DV425">
            <v>1668</v>
          </cell>
          <cell r="DW425">
            <v>1197</v>
          </cell>
          <cell r="DX425">
            <v>1039</v>
          </cell>
          <cell r="DY425">
            <v>784</v>
          </cell>
          <cell r="DZ425">
            <v>448</v>
          </cell>
          <cell r="EA425">
            <v>140</v>
          </cell>
          <cell r="EB425">
            <v>28</v>
          </cell>
          <cell r="EC425">
            <v>2</v>
          </cell>
        </row>
        <row r="426">
          <cell r="B426">
            <v>201</v>
          </cell>
          <cell r="C426">
            <v>15212</v>
          </cell>
          <cell r="D426">
            <v>2</v>
          </cell>
          <cell r="G426" t="str">
            <v>村上市</v>
          </cell>
          <cell r="DF426">
            <v>48</v>
          </cell>
          <cell r="DI426">
            <v>957</v>
          </cell>
          <cell r="DJ426">
            <v>1100</v>
          </cell>
          <cell r="DK426">
            <v>1358</v>
          </cell>
          <cell r="DL426">
            <v>1548</v>
          </cell>
          <cell r="DM426">
            <v>1141</v>
          </cell>
          <cell r="DN426">
            <v>1171</v>
          </cell>
          <cell r="DO426">
            <v>1361</v>
          </cell>
          <cell r="DP426">
            <v>1692</v>
          </cell>
          <cell r="DQ426">
            <v>1889</v>
          </cell>
          <cell r="DR426">
            <v>1828</v>
          </cell>
          <cell r="DS426">
            <v>1949</v>
          </cell>
          <cell r="DT426">
            <v>2072</v>
          </cell>
          <cell r="DU426">
            <v>2549</v>
          </cell>
          <cell r="DV426">
            <v>2743</v>
          </cell>
          <cell r="DW426">
            <v>1986</v>
          </cell>
          <cell r="DX426">
            <v>1847</v>
          </cell>
          <cell r="DY426">
            <v>1429</v>
          </cell>
          <cell r="DZ426">
            <v>819</v>
          </cell>
          <cell r="EA426">
            <v>269</v>
          </cell>
          <cell r="EB426">
            <v>59</v>
          </cell>
          <cell r="EC426">
            <v>9</v>
          </cell>
        </row>
        <row r="427">
          <cell r="B427">
            <v>201</v>
          </cell>
          <cell r="C427">
            <v>15212</v>
          </cell>
          <cell r="D427">
            <v>9</v>
          </cell>
          <cell r="G427" t="str">
            <v>　　(旧 212 村上市)</v>
          </cell>
          <cell r="DF427">
            <v>45</v>
          </cell>
          <cell r="DI427">
            <v>462</v>
          </cell>
          <cell r="DJ427">
            <v>513</v>
          </cell>
          <cell r="DK427">
            <v>616</v>
          </cell>
          <cell r="DL427">
            <v>795</v>
          </cell>
          <cell r="DM427">
            <v>579</v>
          </cell>
          <cell r="DN427">
            <v>558</v>
          </cell>
          <cell r="DO427">
            <v>597</v>
          </cell>
          <cell r="DP427">
            <v>836</v>
          </cell>
          <cell r="DQ427">
            <v>918</v>
          </cell>
          <cell r="DR427">
            <v>855</v>
          </cell>
          <cell r="DS427">
            <v>861</v>
          </cell>
          <cell r="DT427">
            <v>860</v>
          </cell>
          <cell r="DU427">
            <v>1002</v>
          </cell>
          <cell r="DV427">
            <v>1160</v>
          </cell>
          <cell r="DW427">
            <v>928</v>
          </cell>
          <cell r="DX427">
            <v>800</v>
          </cell>
          <cell r="DY427">
            <v>632</v>
          </cell>
          <cell r="DZ427">
            <v>318</v>
          </cell>
          <cell r="EA427">
            <v>98</v>
          </cell>
          <cell r="EB427">
            <v>29</v>
          </cell>
          <cell r="EC427">
            <v>3</v>
          </cell>
        </row>
        <row r="428">
          <cell r="B428">
            <v>201</v>
          </cell>
          <cell r="C428">
            <v>15212</v>
          </cell>
          <cell r="D428">
            <v>9</v>
          </cell>
          <cell r="G428" t="str">
            <v>　　(旧 582 荒川町)</v>
          </cell>
          <cell r="DF428" t="str">
            <v>-</v>
          </cell>
          <cell r="DI428">
            <v>171</v>
          </cell>
          <cell r="DJ428">
            <v>203</v>
          </cell>
          <cell r="DK428">
            <v>244</v>
          </cell>
          <cell r="DL428">
            <v>253</v>
          </cell>
          <cell r="DM428">
            <v>168</v>
          </cell>
          <cell r="DN428">
            <v>210</v>
          </cell>
          <cell r="DO428">
            <v>261</v>
          </cell>
          <cell r="DP428">
            <v>299</v>
          </cell>
          <cell r="DQ428">
            <v>337</v>
          </cell>
          <cell r="DR428">
            <v>304</v>
          </cell>
          <cell r="DS428">
            <v>312</v>
          </cell>
          <cell r="DT428">
            <v>339</v>
          </cell>
          <cell r="DU428">
            <v>444</v>
          </cell>
          <cell r="DV428">
            <v>440</v>
          </cell>
          <cell r="DW428">
            <v>285</v>
          </cell>
          <cell r="DX428">
            <v>277</v>
          </cell>
          <cell r="DY428">
            <v>186</v>
          </cell>
          <cell r="DZ428">
            <v>111</v>
          </cell>
          <cell r="EA428">
            <v>39</v>
          </cell>
          <cell r="EB428">
            <v>6</v>
          </cell>
          <cell r="EC428">
            <v>1</v>
          </cell>
        </row>
        <row r="429">
          <cell r="B429">
            <v>201</v>
          </cell>
          <cell r="C429">
            <v>15212</v>
          </cell>
          <cell r="D429">
            <v>9</v>
          </cell>
          <cell r="G429" t="str">
            <v>　　(旧 583 神林村)</v>
          </cell>
          <cell r="DF429">
            <v>3</v>
          </cell>
          <cell r="DI429">
            <v>139</v>
          </cell>
          <cell r="DJ429">
            <v>154</v>
          </cell>
          <cell r="DK429">
            <v>183</v>
          </cell>
          <cell r="DL429">
            <v>195</v>
          </cell>
          <cell r="DM429">
            <v>142</v>
          </cell>
          <cell r="DN429">
            <v>153</v>
          </cell>
          <cell r="DO429">
            <v>221</v>
          </cell>
          <cell r="DP429">
            <v>233</v>
          </cell>
          <cell r="DQ429">
            <v>260</v>
          </cell>
          <cell r="DR429">
            <v>246</v>
          </cell>
          <cell r="DS429">
            <v>269</v>
          </cell>
          <cell r="DT429">
            <v>316</v>
          </cell>
          <cell r="DU429">
            <v>394</v>
          </cell>
          <cell r="DV429">
            <v>409</v>
          </cell>
          <cell r="DW429">
            <v>255</v>
          </cell>
          <cell r="DX429">
            <v>260</v>
          </cell>
          <cell r="DY429">
            <v>196</v>
          </cell>
          <cell r="DZ429">
            <v>127</v>
          </cell>
          <cell r="EA429">
            <v>47</v>
          </cell>
          <cell r="EB429">
            <v>3</v>
          </cell>
          <cell r="EC429">
            <v>2</v>
          </cell>
        </row>
        <row r="430">
          <cell r="B430">
            <v>201</v>
          </cell>
          <cell r="C430">
            <v>15212</v>
          </cell>
          <cell r="D430">
            <v>9</v>
          </cell>
          <cell r="G430" t="str">
            <v>　　(旧 584 朝日村)</v>
          </cell>
          <cell r="DF430" t="str">
            <v>-</v>
          </cell>
          <cell r="DI430">
            <v>129</v>
          </cell>
          <cell r="DJ430">
            <v>162</v>
          </cell>
          <cell r="DK430">
            <v>210</v>
          </cell>
          <cell r="DL430">
            <v>222</v>
          </cell>
          <cell r="DM430">
            <v>177</v>
          </cell>
          <cell r="DN430">
            <v>167</v>
          </cell>
          <cell r="DO430">
            <v>196</v>
          </cell>
          <cell r="DP430">
            <v>211</v>
          </cell>
          <cell r="DQ430">
            <v>256</v>
          </cell>
          <cell r="DR430">
            <v>256</v>
          </cell>
          <cell r="DS430">
            <v>323</v>
          </cell>
          <cell r="DT430">
            <v>366</v>
          </cell>
          <cell r="DU430">
            <v>428</v>
          </cell>
          <cell r="DV430">
            <v>468</v>
          </cell>
          <cell r="DW430">
            <v>309</v>
          </cell>
          <cell r="DX430">
            <v>290</v>
          </cell>
          <cell r="DY430">
            <v>230</v>
          </cell>
          <cell r="DZ430">
            <v>146</v>
          </cell>
          <cell r="EA430">
            <v>57</v>
          </cell>
          <cell r="EB430">
            <v>9</v>
          </cell>
          <cell r="EC430">
            <v>2</v>
          </cell>
        </row>
        <row r="431">
          <cell r="B431">
            <v>201</v>
          </cell>
          <cell r="C431">
            <v>15212</v>
          </cell>
          <cell r="D431">
            <v>9</v>
          </cell>
          <cell r="G431" t="str">
            <v>　　(旧 585 山北町)</v>
          </cell>
          <cell r="DF431" t="str">
            <v>-</v>
          </cell>
          <cell r="DI431">
            <v>56</v>
          </cell>
          <cell r="DJ431">
            <v>68</v>
          </cell>
          <cell r="DK431">
            <v>105</v>
          </cell>
          <cell r="DL431">
            <v>83</v>
          </cell>
          <cell r="DM431">
            <v>75</v>
          </cell>
          <cell r="DN431">
            <v>83</v>
          </cell>
          <cell r="DO431">
            <v>86</v>
          </cell>
          <cell r="DP431">
            <v>113</v>
          </cell>
          <cell r="DQ431">
            <v>118</v>
          </cell>
          <cell r="DR431">
            <v>167</v>
          </cell>
          <cell r="DS431">
            <v>184</v>
          </cell>
          <cell r="DT431">
            <v>191</v>
          </cell>
          <cell r="DU431">
            <v>281</v>
          </cell>
          <cell r="DV431">
            <v>266</v>
          </cell>
          <cell r="DW431">
            <v>209</v>
          </cell>
          <cell r="DX431">
            <v>220</v>
          </cell>
          <cell r="DY431">
            <v>185</v>
          </cell>
          <cell r="DZ431">
            <v>117</v>
          </cell>
          <cell r="EA431">
            <v>28</v>
          </cell>
          <cell r="EB431">
            <v>12</v>
          </cell>
          <cell r="EC431">
            <v>1</v>
          </cell>
        </row>
        <row r="432">
          <cell r="B432">
            <v>201</v>
          </cell>
          <cell r="C432">
            <v>15213</v>
          </cell>
          <cell r="D432">
            <v>2</v>
          </cell>
          <cell r="G432" t="str">
            <v>燕市</v>
          </cell>
          <cell r="DF432">
            <v>121</v>
          </cell>
          <cell r="DI432">
            <v>1468</v>
          </cell>
          <cell r="DJ432">
            <v>1673</v>
          </cell>
          <cell r="DK432">
            <v>1846</v>
          </cell>
          <cell r="DL432">
            <v>1849</v>
          </cell>
          <cell r="DM432">
            <v>1560</v>
          </cell>
          <cell r="DN432">
            <v>1923</v>
          </cell>
          <cell r="DO432">
            <v>2192</v>
          </cell>
          <cell r="DP432">
            <v>2604</v>
          </cell>
          <cell r="DQ432">
            <v>2992</v>
          </cell>
          <cell r="DR432">
            <v>2733</v>
          </cell>
          <cell r="DS432">
            <v>2546</v>
          </cell>
          <cell r="DT432">
            <v>2586</v>
          </cell>
          <cell r="DU432">
            <v>2915</v>
          </cell>
          <cell r="DV432">
            <v>2990</v>
          </cell>
          <cell r="DW432">
            <v>2366</v>
          </cell>
          <cell r="DX432">
            <v>2087</v>
          </cell>
          <cell r="DY432">
            <v>1342</v>
          </cell>
          <cell r="DZ432">
            <v>721</v>
          </cell>
          <cell r="EA432">
            <v>203</v>
          </cell>
          <cell r="EB432">
            <v>49</v>
          </cell>
          <cell r="EC432">
            <v>4</v>
          </cell>
        </row>
        <row r="433">
          <cell r="B433">
            <v>201</v>
          </cell>
          <cell r="C433">
            <v>15213</v>
          </cell>
          <cell r="D433">
            <v>9</v>
          </cell>
          <cell r="G433" t="str">
            <v>　　(旧 213 燕市)</v>
          </cell>
          <cell r="DF433">
            <v>55</v>
          </cell>
          <cell r="DI433">
            <v>780</v>
          </cell>
          <cell r="DJ433">
            <v>876</v>
          </cell>
          <cell r="DK433">
            <v>1006</v>
          </cell>
          <cell r="DL433">
            <v>928</v>
          </cell>
          <cell r="DM433">
            <v>836</v>
          </cell>
          <cell r="DN433">
            <v>1070</v>
          </cell>
          <cell r="DO433">
            <v>1233</v>
          </cell>
          <cell r="DP433">
            <v>1440</v>
          </cell>
          <cell r="DQ433">
            <v>1652</v>
          </cell>
          <cell r="DR433">
            <v>1490</v>
          </cell>
          <cell r="DS433">
            <v>1349</v>
          </cell>
          <cell r="DT433">
            <v>1354</v>
          </cell>
          <cell r="DU433">
            <v>1483</v>
          </cell>
          <cell r="DV433">
            <v>1575</v>
          </cell>
          <cell r="DW433">
            <v>1247</v>
          </cell>
          <cell r="DX433">
            <v>1170</v>
          </cell>
          <cell r="DY433">
            <v>692</v>
          </cell>
          <cell r="DZ433">
            <v>377</v>
          </cell>
          <cell r="EA433">
            <v>104</v>
          </cell>
          <cell r="EB433">
            <v>27</v>
          </cell>
          <cell r="EC433" t="str">
            <v>-</v>
          </cell>
        </row>
        <row r="434">
          <cell r="B434">
            <v>201</v>
          </cell>
          <cell r="C434">
            <v>15213</v>
          </cell>
          <cell r="D434">
            <v>9</v>
          </cell>
          <cell r="G434" t="str">
            <v>　　(旧 343 分水町)</v>
          </cell>
          <cell r="DF434">
            <v>30</v>
          </cell>
          <cell r="DI434">
            <v>227</v>
          </cell>
          <cell r="DJ434">
            <v>294</v>
          </cell>
          <cell r="DK434">
            <v>289</v>
          </cell>
          <cell r="DL434">
            <v>318</v>
          </cell>
          <cell r="DM434">
            <v>257</v>
          </cell>
          <cell r="DN434">
            <v>300</v>
          </cell>
          <cell r="DO434">
            <v>357</v>
          </cell>
          <cell r="DP434">
            <v>419</v>
          </cell>
          <cell r="DQ434">
            <v>475</v>
          </cell>
          <cell r="DR434">
            <v>439</v>
          </cell>
          <cell r="DS434">
            <v>432</v>
          </cell>
          <cell r="DT434">
            <v>458</v>
          </cell>
          <cell r="DU434">
            <v>568</v>
          </cell>
          <cell r="DV434">
            <v>538</v>
          </cell>
          <cell r="DW434">
            <v>429</v>
          </cell>
          <cell r="DX434">
            <v>358</v>
          </cell>
          <cell r="DY434">
            <v>247</v>
          </cell>
          <cell r="DZ434">
            <v>136</v>
          </cell>
          <cell r="EA434">
            <v>36</v>
          </cell>
          <cell r="EB434">
            <v>12</v>
          </cell>
          <cell r="EC434">
            <v>1</v>
          </cell>
        </row>
        <row r="435">
          <cell r="B435">
            <v>201</v>
          </cell>
          <cell r="C435">
            <v>15213</v>
          </cell>
          <cell r="D435">
            <v>9</v>
          </cell>
          <cell r="G435" t="str">
            <v>　　(旧 344 吉田町)</v>
          </cell>
          <cell r="DF435">
            <v>36</v>
          </cell>
          <cell r="DI435">
            <v>461</v>
          </cell>
          <cell r="DJ435">
            <v>503</v>
          </cell>
          <cell r="DK435">
            <v>551</v>
          </cell>
          <cell r="DL435">
            <v>603</v>
          </cell>
          <cell r="DM435">
            <v>467</v>
          </cell>
          <cell r="DN435">
            <v>553</v>
          </cell>
          <cell r="DO435">
            <v>602</v>
          </cell>
          <cell r="DP435">
            <v>745</v>
          </cell>
          <cell r="DQ435">
            <v>865</v>
          </cell>
          <cell r="DR435">
            <v>804</v>
          </cell>
          <cell r="DS435">
            <v>765</v>
          </cell>
          <cell r="DT435">
            <v>774</v>
          </cell>
          <cell r="DU435">
            <v>864</v>
          </cell>
          <cell r="DV435">
            <v>877</v>
          </cell>
          <cell r="DW435">
            <v>690</v>
          </cell>
          <cell r="DX435">
            <v>559</v>
          </cell>
          <cell r="DY435">
            <v>403</v>
          </cell>
          <cell r="DZ435">
            <v>208</v>
          </cell>
          <cell r="EA435">
            <v>63</v>
          </cell>
          <cell r="EB435">
            <v>10</v>
          </cell>
          <cell r="EC435">
            <v>3</v>
          </cell>
        </row>
        <row r="436">
          <cell r="B436">
            <v>201</v>
          </cell>
          <cell r="C436">
            <v>15216</v>
          </cell>
          <cell r="D436">
            <v>2</v>
          </cell>
          <cell r="G436" t="str">
            <v>糸魚川市</v>
          </cell>
          <cell r="DF436">
            <v>42</v>
          </cell>
          <cell r="DI436">
            <v>686</v>
          </cell>
          <cell r="DJ436">
            <v>848</v>
          </cell>
          <cell r="DK436">
            <v>940</v>
          </cell>
          <cell r="DL436">
            <v>898</v>
          </cell>
          <cell r="DM436">
            <v>670</v>
          </cell>
          <cell r="DN436">
            <v>928</v>
          </cell>
          <cell r="DO436">
            <v>972</v>
          </cell>
          <cell r="DP436">
            <v>1215</v>
          </cell>
          <cell r="DQ436">
            <v>1355</v>
          </cell>
          <cell r="DR436">
            <v>1363</v>
          </cell>
          <cell r="DS436">
            <v>1370</v>
          </cell>
          <cell r="DT436">
            <v>1518</v>
          </cell>
          <cell r="DU436">
            <v>1779</v>
          </cell>
          <cell r="DV436">
            <v>1941</v>
          </cell>
          <cell r="DW436">
            <v>1576</v>
          </cell>
          <cell r="DX436">
            <v>1426</v>
          </cell>
          <cell r="DY436">
            <v>1091</v>
          </cell>
          <cell r="DZ436">
            <v>622</v>
          </cell>
          <cell r="EA436">
            <v>250</v>
          </cell>
          <cell r="EB436">
            <v>45</v>
          </cell>
          <cell r="EC436">
            <v>3</v>
          </cell>
        </row>
        <row r="437">
          <cell r="B437">
            <v>201</v>
          </cell>
          <cell r="C437">
            <v>15216</v>
          </cell>
          <cell r="D437">
            <v>9</v>
          </cell>
          <cell r="G437" t="str">
            <v>　　(旧 216 糸魚川市)</v>
          </cell>
          <cell r="DF437">
            <v>39</v>
          </cell>
          <cell r="DI437">
            <v>440</v>
          </cell>
          <cell r="DJ437">
            <v>548</v>
          </cell>
          <cell r="DK437">
            <v>595</v>
          </cell>
          <cell r="DL437">
            <v>492</v>
          </cell>
          <cell r="DM437">
            <v>403</v>
          </cell>
          <cell r="DN437">
            <v>595</v>
          </cell>
          <cell r="DO437">
            <v>620</v>
          </cell>
          <cell r="DP437">
            <v>776</v>
          </cell>
          <cell r="DQ437">
            <v>872</v>
          </cell>
          <cell r="DR437">
            <v>876</v>
          </cell>
          <cell r="DS437">
            <v>847</v>
          </cell>
          <cell r="DT437">
            <v>950</v>
          </cell>
          <cell r="DU437">
            <v>1072</v>
          </cell>
          <cell r="DV437">
            <v>1176</v>
          </cell>
          <cell r="DW437">
            <v>951</v>
          </cell>
          <cell r="DX437">
            <v>846</v>
          </cell>
          <cell r="DY437">
            <v>667</v>
          </cell>
          <cell r="DZ437">
            <v>386</v>
          </cell>
          <cell r="EA437">
            <v>162</v>
          </cell>
          <cell r="EB437">
            <v>28</v>
          </cell>
          <cell r="EC437">
            <v>2</v>
          </cell>
        </row>
        <row r="438">
          <cell r="B438">
            <v>201</v>
          </cell>
          <cell r="C438">
            <v>15216</v>
          </cell>
          <cell r="D438">
            <v>9</v>
          </cell>
          <cell r="G438" t="str">
            <v>　　(旧 562 能生町)</v>
          </cell>
          <cell r="DF438">
            <v>1</v>
          </cell>
          <cell r="DI438">
            <v>112</v>
          </cell>
          <cell r="DJ438">
            <v>138</v>
          </cell>
          <cell r="DK438">
            <v>173</v>
          </cell>
          <cell r="DL438">
            <v>237</v>
          </cell>
          <cell r="DM438">
            <v>123</v>
          </cell>
          <cell r="DN438">
            <v>144</v>
          </cell>
          <cell r="DO438">
            <v>174</v>
          </cell>
          <cell r="DP438">
            <v>210</v>
          </cell>
          <cell r="DQ438">
            <v>253</v>
          </cell>
          <cell r="DR438">
            <v>247</v>
          </cell>
          <cell r="DS438">
            <v>258</v>
          </cell>
          <cell r="DT438">
            <v>308</v>
          </cell>
          <cell r="DU438">
            <v>388</v>
          </cell>
          <cell r="DV438">
            <v>411</v>
          </cell>
          <cell r="DW438">
            <v>298</v>
          </cell>
          <cell r="DX438">
            <v>301</v>
          </cell>
          <cell r="DY438">
            <v>213</v>
          </cell>
          <cell r="DZ438">
            <v>146</v>
          </cell>
          <cell r="EA438">
            <v>43</v>
          </cell>
          <cell r="EB438">
            <v>9</v>
          </cell>
          <cell r="EC438">
            <v>1</v>
          </cell>
        </row>
        <row r="439">
          <cell r="B439">
            <v>201</v>
          </cell>
          <cell r="C439">
            <v>15216</v>
          </cell>
          <cell r="D439">
            <v>9</v>
          </cell>
          <cell r="G439" t="str">
            <v>　　(旧 563 青海町)</v>
          </cell>
          <cell r="DF439">
            <v>2</v>
          </cell>
          <cell r="DI439">
            <v>134</v>
          </cell>
          <cell r="DJ439">
            <v>162</v>
          </cell>
          <cell r="DK439">
            <v>172</v>
          </cell>
          <cell r="DL439">
            <v>169</v>
          </cell>
          <cell r="DM439">
            <v>144</v>
          </cell>
          <cell r="DN439">
            <v>189</v>
          </cell>
          <cell r="DO439">
            <v>178</v>
          </cell>
          <cell r="DP439">
            <v>229</v>
          </cell>
          <cell r="DQ439">
            <v>230</v>
          </cell>
          <cell r="DR439">
            <v>240</v>
          </cell>
          <cell r="DS439">
            <v>265</v>
          </cell>
          <cell r="DT439">
            <v>260</v>
          </cell>
          <cell r="DU439">
            <v>319</v>
          </cell>
          <cell r="DV439">
            <v>354</v>
          </cell>
          <cell r="DW439">
            <v>327</v>
          </cell>
          <cell r="DX439">
            <v>279</v>
          </cell>
          <cell r="DY439">
            <v>211</v>
          </cell>
          <cell r="DZ439">
            <v>90</v>
          </cell>
          <cell r="EA439">
            <v>45</v>
          </cell>
          <cell r="EB439">
            <v>8</v>
          </cell>
          <cell r="EC439" t="str">
            <v>-</v>
          </cell>
        </row>
        <row r="440">
          <cell r="B440">
            <v>201</v>
          </cell>
          <cell r="C440">
            <v>15217</v>
          </cell>
          <cell r="D440">
            <v>2</v>
          </cell>
          <cell r="G440" t="str">
            <v>妙高市</v>
          </cell>
          <cell r="DF440">
            <v>21</v>
          </cell>
          <cell r="DI440">
            <v>571</v>
          </cell>
          <cell r="DJ440">
            <v>621</v>
          </cell>
          <cell r="DK440">
            <v>723</v>
          </cell>
          <cell r="DL440">
            <v>792</v>
          </cell>
          <cell r="DM440">
            <v>601</v>
          </cell>
          <cell r="DN440">
            <v>704</v>
          </cell>
          <cell r="DO440">
            <v>776</v>
          </cell>
          <cell r="DP440">
            <v>902</v>
          </cell>
          <cell r="DQ440">
            <v>1014</v>
          </cell>
          <cell r="DR440">
            <v>1006</v>
          </cell>
          <cell r="DS440">
            <v>1137</v>
          </cell>
          <cell r="DT440">
            <v>1123</v>
          </cell>
          <cell r="DU440">
            <v>1351</v>
          </cell>
          <cell r="DV440">
            <v>1463</v>
          </cell>
          <cell r="DW440">
            <v>1007</v>
          </cell>
          <cell r="DX440">
            <v>873</v>
          </cell>
          <cell r="DY440">
            <v>764</v>
          </cell>
          <cell r="DZ440">
            <v>468</v>
          </cell>
          <cell r="EA440">
            <v>134</v>
          </cell>
          <cell r="EB440">
            <v>41</v>
          </cell>
          <cell r="EC440">
            <v>5</v>
          </cell>
        </row>
        <row r="441">
          <cell r="B441">
            <v>201</v>
          </cell>
          <cell r="C441">
            <v>15217</v>
          </cell>
          <cell r="D441">
            <v>9</v>
          </cell>
          <cell r="G441" t="str">
            <v>　　(旧 217 新井市)</v>
          </cell>
          <cell r="DF441">
            <v>17</v>
          </cell>
          <cell r="DI441">
            <v>480</v>
          </cell>
          <cell r="DJ441">
            <v>493</v>
          </cell>
          <cell r="DK441">
            <v>564</v>
          </cell>
          <cell r="DL441">
            <v>593</v>
          </cell>
          <cell r="DM441">
            <v>445</v>
          </cell>
          <cell r="DN441">
            <v>569</v>
          </cell>
          <cell r="DO441">
            <v>630</v>
          </cell>
          <cell r="DP441">
            <v>703</v>
          </cell>
          <cell r="DQ441">
            <v>785</v>
          </cell>
          <cell r="DR441">
            <v>760</v>
          </cell>
          <cell r="DS441">
            <v>844</v>
          </cell>
          <cell r="DT441">
            <v>814</v>
          </cell>
          <cell r="DU441">
            <v>954</v>
          </cell>
          <cell r="DV441">
            <v>1028</v>
          </cell>
          <cell r="DW441">
            <v>700</v>
          </cell>
          <cell r="DX441">
            <v>575</v>
          </cell>
          <cell r="DY441">
            <v>537</v>
          </cell>
          <cell r="DZ441">
            <v>324</v>
          </cell>
          <cell r="EA441">
            <v>93</v>
          </cell>
          <cell r="EB441">
            <v>31</v>
          </cell>
          <cell r="EC441">
            <v>3</v>
          </cell>
        </row>
        <row r="442">
          <cell r="B442">
            <v>201</v>
          </cell>
          <cell r="C442">
            <v>15217</v>
          </cell>
          <cell r="D442">
            <v>9</v>
          </cell>
          <cell r="G442" t="str">
            <v>　　(旧 545 妙高高原町)</v>
          </cell>
          <cell r="DF442">
            <v>3</v>
          </cell>
          <cell r="DI442">
            <v>47</v>
          </cell>
          <cell r="DJ442">
            <v>81</v>
          </cell>
          <cell r="DK442">
            <v>85</v>
          </cell>
          <cell r="DL442">
            <v>90</v>
          </cell>
          <cell r="DM442">
            <v>75</v>
          </cell>
          <cell r="DN442">
            <v>55</v>
          </cell>
          <cell r="DO442">
            <v>78</v>
          </cell>
          <cell r="DP442">
            <v>110</v>
          </cell>
          <cell r="DQ442">
            <v>131</v>
          </cell>
          <cell r="DR442">
            <v>148</v>
          </cell>
          <cell r="DS442">
            <v>158</v>
          </cell>
          <cell r="DT442">
            <v>153</v>
          </cell>
          <cell r="DU442">
            <v>221</v>
          </cell>
          <cell r="DV442">
            <v>238</v>
          </cell>
          <cell r="DW442">
            <v>182</v>
          </cell>
          <cell r="DX442">
            <v>181</v>
          </cell>
          <cell r="DY442">
            <v>137</v>
          </cell>
          <cell r="DZ442">
            <v>74</v>
          </cell>
          <cell r="EA442">
            <v>21</v>
          </cell>
          <cell r="EB442">
            <v>7</v>
          </cell>
          <cell r="EC442">
            <v>1</v>
          </cell>
        </row>
        <row r="443">
          <cell r="B443">
            <v>201</v>
          </cell>
          <cell r="C443">
            <v>15217</v>
          </cell>
          <cell r="D443">
            <v>9</v>
          </cell>
          <cell r="G443" t="str">
            <v>　　(旧 547 妙高村)</v>
          </cell>
          <cell r="DF443">
            <v>1</v>
          </cell>
          <cell r="DI443">
            <v>44</v>
          </cell>
          <cell r="DJ443">
            <v>47</v>
          </cell>
          <cell r="DK443">
            <v>74</v>
          </cell>
          <cell r="DL443">
            <v>109</v>
          </cell>
          <cell r="DM443">
            <v>81</v>
          </cell>
          <cell r="DN443">
            <v>80</v>
          </cell>
          <cell r="DO443">
            <v>68</v>
          </cell>
          <cell r="DP443">
            <v>89</v>
          </cell>
          <cell r="DQ443">
            <v>98</v>
          </cell>
          <cell r="DR443">
            <v>98</v>
          </cell>
          <cell r="DS443">
            <v>135</v>
          </cell>
          <cell r="DT443">
            <v>156</v>
          </cell>
          <cell r="DU443">
            <v>176</v>
          </cell>
          <cell r="DV443">
            <v>197</v>
          </cell>
          <cell r="DW443">
            <v>125</v>
          </cell>
          <cell r="DX443">
            <v>117</v>
          </cell>
          <cell r="DY443">
            <v>90</v>
          </cell>
          <cell r="DZ443">
            <v>70</v>
          </cell>
          <cell r="EA443">
            <v>20</v>
          </cell>
          <cell r="EB443">
            <v>3</v>
          </cell>
          <cell r="EC443">
            <v>1</v>
          </cell>
        </row>
        <row r="444">
          <cell r="B444">
            <v>201</v>
          </cell>
          <cell r="C444">
            <v>15218</v>
          </cell>
          <cell r="D444">
            <v>2</v>
          </cell>
          <cell r="G444" t="str">
            <v>五泉市</v>
          </cell>
          <cell r="DF444">
            <v>10</v>
          </cell>
          <cell r="DI444">
            <v>850</v>
          </cell>
          <cell r="DJ444">
            <v>984</v>
          </cell>
          <cell r="DK444">
            <v>1123</v>
          </cell>
          <cell r="DL444">
            <v>1182</v>
          </cell>
          <cell r="DM444">
            <v>922</v>
          </cell>
          <cell r="DN444">
            <v>1100</v>
          </cell>
          <cell r="DO444">
            <v>1297</v>
          </cell>
          <cell r="DP444">
            <v>1538</v>
          </cell>
          <cell r="DQ444">
            <v>1638</v>
          </cell>
          <cell r="DR444">
            <v>1594</v>
          </cell>
          <cell r="DS444">
            <v>1588</v>
          </cell>
          <cell r="DT444">
            <v>1704</v>
          </cell>
          <cell r="DU444">
            <v>2081</v>
          </cell>
          <cell r="DV444">
            <v>2251</v>
          </cell>
          <cell r="DW444">
            <v>1572</v>
          </cell>
          <cell r="DX444">
            <v>1334</v>
          </cell>
          <cell r="DY444">
            <v>988</v>
          </cell>
          <cell r="DZ444">
            <v>603</v>
          </cell>
          <cell r="EA444">
            <v>203</v>
          </cell>
          <cell r="EB444">
            <v>31</v>
          </cell>
          <cell r="EC444">
            <v>3</v>
          </cell>
        </row>
        <row r="445">
          <cell r="B445">
            <v>201</v>
          </cell>
          <cell r="C445">
            <v>15218</v>
          </cell>
          <cell r="D445">
            <v>9</v>
          </cell>
          <cell r="G445" t="str">
            <v>　　(旧 218 五泉市)</v>
          </cell>
          <cell r="DF445">
            <v>7</v>
          </cell>
          <cell r="DI445">
            <v>607</v>
          </cell>
          <cell r="DJ445">
            <v>681</v>
          </cell>
          <cell r="DK445">
            <v>773</v>
          </cell>
          <cell r="DL445">
            <v>804</v>
          </cell>
          <cell r="DM445">
            <v>631</v>
          </cell>
          <cell r="DN445">
            <v>731</v>
          </cell>
          <cell r="DO445">
            <v>882</v>
          </cell>
          <cell r="DP445">
            <v>1069</v>
          </cell>
          <cell r="DQ445">
            <v>1151</v>
          </cell>
          <cell r="DR445">
            <v>1119</v>
          </cell>
          <cell r="DS445">
            <v>1052</v>
          </cell>
          <cell r="DT445">
            <v>1115</v>
          </cell>
          <cell r="DU445">
            <v>1328</v>
          </cell>
          <cell r="DV445">
            <v>1460</v>
          </cell>
          <cell r="DW445">
            <v>1053</v>
          </cell>
          <cell r="DX445">
            <v>875</v>
          </cell>
          <cell r="DY445">
            <v>620</v>
          </cell>
          <cell r="DZ445">
            <v>338</v>
          </cell>
          <cell r="EA445">
            <v>117</v>
          </cell>
          <cell r="EB445">
            <v>18</v>
          </cell>
          <cell r="EC445">
            <v>1</v>
          </cell>
        </row>
        <row r="446">
          <cell r="B446">
            <v>201</v>
          </cell>
          <cell r="C446">
            <v>15218</v>
          </cell>
          <cell r="D446">
            <v>9</v>
          </cell>
          <cell r="G446" t="str">
            <v>　　(旧 322 村松町)</v>
          </cell>
          <cell r="DF446">
            <v>3</v>
          </cell>
          <cell r="DI446">
            <v>243</v>
          </cell>
          <cell r="DJ446">
            <v>303</v>
          </cell>
          <cell r="DK446">
            <v>350</v>
          </cell>
          <cell r="DL446">
            <v>378</v>
          </cell>
          <cell r="DM446">
            <v>291</v>
          </cell>
          <cell r="DN446">
            <v>369</v>
          </cell>
          <cell r="DO446">
            <v>415</v>
          </cell>
          <cell r="DP446">
            <v>469</v>
          </cell>
          <cell r="DQ446">
            <v>487</v>
          </cell>
          <cell r="DR446">
            <v>475</v>
          </cell>
          <cell r="DS446">
            <v>536</v>
          </cell>
          <cell r="DT446">
            <v>589</v>
          </cell>
          <cell r="DU446">
            <v>753</v>
          </cell>
          <cell r="DV446">
            <v>791</v>
          </cell>
          <cell r="DW446">
            <v>519</v>
          </cell>
          <cell r="DX446">
            <v>459</v>
          </cell>
          <cell r="DY446">
            <v>368</v>
          </cell>
          <cell r="DZ446">
            <v>265</v>
          </cell>
          <cell r="EA446">
            <v>86</v>
          </cell>
          <cell r="EB446">
            <v>13</v>
          </cell>
          <cell r="EC446">
            <v>2</v>
          </cell>
        </row>
        <row r="447">
          <cell r="B447">
            <v>201</v>
          </cell>
          <cell r="C447">
            <v>15222</v>
          </cell>
          <cell r="D447">
            <v>2</v>
          </cell>
          <cell r="G447" t="str">
            <v>上越市</v>
          </cell>
          <cell r="DF447">
            <v>538</v>
          </cell>
          <cell r="DI447">
            <v>3916</v>
          </cell>
          <cell r="DJ447">
            <v>4336</v>
          </cell>
          <cell r="DK447">
            <v>4749</v>
          </cell>
          <cell r="DL447">
            <v>4575</v>
          </cell>
          <cell r="DM447">
            <v>3794</v>
          </cell>
          <cell r="DN447">
            <v>4597</v>
          </cell>
          <cell r="DO447">
            <v>5284</v>
          </cell>
          <cell r="DP447">
            <v>6155</v>
          </cell>
          <cell r="DQ447">
            <v>6848</v>
          </cell>
          <cell r="DR447">
            <v>6260</v>
          </cell>
          <cell r="DS447">
            <v>5937</v>
          </cell>
          <cell r="DT447">
            <v>6449</v>
          </cell>
          <cell r="DU447">
            <v>7470</v>
          </cell>
          <cell r="DV447">
            <v>8045</v>
          </cell>
          <cell r="DW447">
            <v>5632</v>
          </cell>
          <cell r="DX447">
            <v>4689</v>
          </cell>
          <cell r="DY447">
            <v>3706</v>
          </cell>
          <cell r="DZ447">
            <v>2135</v>
          </cell>
          <cell r="EA447">
            <v>700</v>
          </cell>
          <cell r="EB447">
            <v>157</v>
          </cell>
          <cell r="EC447">
            <v>18</v>
          </cell>
        </row>
        <row r="448">
          <cell r="B448">
            <v>201</v>
          </cell>
          <cell r="C448">
            <v>15222</v>
          </cell>
          <cell r="D448">
            <v>9</v>
          </cell>
          <cell r="G448" t="str">
            <v>　　(旧 222 上越市)</v>
          </cell>
          <cell r="DF448">
            <v>514</v>
          </cell>
          <cell r="DI448">
            <v>2946</v>
          </cell>
          <cell r="DJ448">
            <v>3062</v>
          </cell>
          <cell r="DK448">
            <v>3164</v>
          </cell>
          <cell r="DL448">
            <v>3173</v>
          </cell>
          <cell r="DM448">
            <v>2770</v>
          </cell>
          <cell r="DN448">
            <v>3406</v>
          </cell>
          <cell r="DO448">
            <v>3852</v>
          </cell>
          <cell r="DP448">
            <v>4425</v>
          </cell>
          <cell r="DQ448">
            <v>4897</v>
          </cell>
          <cell r="DR448">
            <v>4483</v>
          </cell>
          <cell r="DS448">
            <v>3999</v>
          </cell>
          <cell r="DT448">
            <v>3998</v>
          </cell>
          <cell r="DU448">
            <v>4635</v>
          </cell>
          <cell r="DV448">
            <v>5055</v>
          </cell>
          <cell r="DW448">
            <v>3604</v>
          </cell>
          <cell r="DX448">
            <v>2949</v>
          </cell>
          <cell r="DY448">
            <v>2198</v>
          </cell>
          <cell r="DZ448">
            <v>1255</v>
          </cell>
          <cell r="EA448">
            <v>429</v>
          </cell>
          <cell r="EB448">
            <v>97</v>
          </cell>
          <cell r="EC448">
            <v>10</v>
          </cell>
        </row>
        <row r="449">
          <cell r="B449">
            <v>201</v>
          </cell>
          <cell r="C449">
            <v>15222</v>
          </cell>
          <cell r="D449">
            <v>9</v>
          </cell>
          <cell r="G449" t="str">
            <v>　　(旧 521 安塚町)</v>
          </cell>
          <cell r="DF449" t="str">
            <v>-</v>
          </cell>
          <cell r="DI449">
            <v>24</v>
          </cell>
          <cell r="DJ449">
            <v>21</v>
          </cell>
          <cell r="DK449">
            <v>51</v>
          </cell>
          <cell r="DL449">
            <v>47</v>
          </cell>
          <cell r="DM449">
            <v>29</v>
          </cell>
          <cell r="DN449">
            <v>28</v>
          </cell>
          <cell r="DO449">
            <v>45</v>
          </cell>
          <cell r="DP449">
            <v>56</v>
          </cell>
          <cell r="DQ449">
            <v>55</v>
          </cell>
          <cell r="DR449">
            <v>52</v>
          </cell>
          <cell r="DS449">
            <v>70</v>
          </cell>
          <cell r="DT449">
            <v>104</v>
          </cell>
          <cell r="DU449">
            <v>128</v>
          </cell>
          <cell r="DV449">
            <v>127</v>
          </cell>
          <cell r="DW449">
            <v>90</v>
          </cell>
          <cell r="DX449">
            <v>109</v>
          </cell>
          <cell r="DY449">
            <v>92</v>
          </cell>
          <cell r="DZ449">
            <v>63</v>
          </cell>
          <cell r="EA449">
            <v>14</v>
          </cell>
          <cell r="EB449">
            <v>3</v>
          </cell>
          <cell r="EC449" t="str">
            <v>-</v>
          </cell>
        </row>
        <row r="450">
          <cell r="B450">
            <v>201</v>
          </cell>
          <cell r="C450">
            <v>15222</v>
          </cell>
          <cell r="D450">
            <v>9</v>
          </cell>
          <cell r="G450" t="str">
            <v>　　(旧 522 浦川原村)</v>
          </cell>
          <cell r="DF450" t="str">
            <v>-</v>
          </cell>
          <cell r="DI450">
            <v>49</v>
          </cell>
          <cell r="DJ450">
            <v>73</v>
          </cell>
          <cell r="DK450">
            <v>84</v>
          </cell>
          <cell r="DL450">
            <v>63</v>
          </cell>
          <cell r="DM450">
            <v>59</v>
          </cell>
          <cell r="DN450">
            <v>59</v>
          </cell>
          <cell r="DO450">
            <v>80</v>
          </cell>
          <cell r="DP450">
            <v>84</v>
          </cell>
          <cell r="DQ450">
            <v>85</v>
          </cell>
          <cell r="DR450">
            <v>110</v>
          </cell>
          <cell r="DS450">
            <v>84</v>
          </cell>
          <cell r="DT450">
            <v>142</v>
          </cell>
          <cell r="DU450">
            <v>156</v>
          </cell>
          <cell r="DV450">
            <v>164</v>
          </cell>
          <cell r="DW450">
            <v>88</v>
          </cell>
          <cell r="DX450">
            <v>103</v>
          </cell>
          <cell r="DY450">
            <v>97</v>
          </cell>
          <cell r="DZ450">
            <v>61</v>
          </cell>
          <cell r="EA450">
            <v>18</v>
          </cell>
          <cell r="EB450">
            <v>2</v>
          </cell>
          <cell r="EC450">
            <v>2</v>
          </cell>
        </row>
        <row r="451">
          <cell r="B451">
            <v>201</v>
          </cell>
          <cell r="C451">
            <v>15222</v>
          </cell>
          <cell r="D451">
            <v>9</v>
          </cell>
          <cell r="G451" t="str">
            <v>　　(旧 525 大島村)</v>
          </cell>
          <cell r="DF451" t="str">
            <v>-</v>
          </cell>
          <cell r="DI451">
            <v>16</v>
          </cell>
          <cell r="DJ451">
            <v>15</v>
          </cell>
          <cell r="DK451">
            <v>23</v>
          </cell>
          <cell r="DL451">
            <v>30</v>
          </cell>
          <cell r="DM451">
            <v>19</v>
          </cell>
          <cell r="DN451">
            <v>20</v>
          </cell>
          <cell r="DO451">
            <v>38</v>
          </cell>
          <cell r="DP451">
            <v>27</v>
          </cell>
          <cell r="DQ451">
            <v>35</v>
          </cell>
          <cell r="DR451">
            <v>33</v>
          </cell>
          <cell r="DS451">
            <v>41</v>
          </cell>
          <cell r="DT451">
            <v>61</v>
          </cell>
          <cell r="DU451">
            <v>86</v>
          </cell>
          <cell r="DV451">
            <v>85</v>
          </cell>
          <cell r="DW451">
            <v>60</v>
          </cell>
          <cell r="DX451">
            <v>75</v>
          </cell>
          <cell r="DY451">
            <v>62</v>
          </cell>
          <cell r="DZ451">
            <v>25</v>
          </cell>
          <cell r="EA451">
            <v>12</v>
          </cell>
          <cell r="EB451">
            <v>3</v>
          </cell>
          <cell r="EC451">
            <v>1</v>
          </cell>
        </row>
        <row r="452">
          <cell r="B452">
            <v>201</v>
          </cell>
          <cell r="C452">
            <v>15222</v>
          </cell>
          <cell r="D452">
            <v>9</v>
          </cell>
          <cell r="G452" t="str">
            <v>　　(旧 526 牧村)</v>
          </cell>
          <cell r="DF452" t="str">
            <v>-</v>
          </cell>
          <cell r="DI452">
            <v>20</v>
          </cell>
          <cell r="DJ452">
            <v>30</v>
          </cell>
          <cell r="DK452">
            <v>32</v>
          </cell>
          <cell r="DL452">
            <v>33</v>
          </cell>
          <cell r="DM452">
            <v>23</v>
          </cell>
          <cell r="DN452">
            <v>30</v>
          </cell>
          <cell r="DO452">
            <v>32</v>
          </cell>
          <cell r="DP452">
            <v>39</v>
          </cell>
          <cell r="DQ452">
            <v>49</v>
          </cell>
          <cell r="DR452">
            <v>40</v>
          </cell>
          <cell r="DS452">
            <v>56</v>
          </cell>
          <cell r="DT452">
            <v>90</v>
          </cell>
          <cell r="DU452">
            <v>82</v>
          </cell>
          <cell r="DV452">
            <v>105</v>
          </cell>
          <cell r="DW452">
            <v>66</v>
          </cell>
          <cell r="DX452">
            <v>83</v>
          </cell>
          <cell r="DY452">
            <v>78</v>
          </cell>
          <cell r="DZ452">
            <v>48</v>
          </cell>
          <cell r="EA452">
            <v>17</v>
          </cell>
          <cell r="EB452">
            <v>4</v>
          </cell>
          <cell r="EC452" t="str">
            <v>-</v>
          </cell>
        </row>
        <row r="453">
          <cell r="B453">
            <v>201</v>
          </cell>
          <cell r="C453">
            <v>15222</v>
          </cell>
          <cell r="D453">
            <v>9</v>
          </cell>
          <cell r="G453" t="str">
            <v>　　(旧 541 柿崎町)</v>
          </cell>
          <cell r="DF453">
            <v>4</v>
          </cell>
          <cell r="DI453">
            <v>141</v>
          </cell>
          <cell r="DJ453">
            <v>198</v>
          </cell>
          <cell r="DK453">
            <v>222</v>
          </cell>
          <cell r="DL453">
            <v>192</v>
          </cell>
          <cell r="DM453">
            <v>151</v>
          </cell>
          <cell r="DN453">
            <v>204</v>
          </cell>
          <cell r="DO453">
            <v>221</v>
          </cell>
          <cell r="DP453">
            <v>262</v>
          </cell>
          <cell r="DQ453">
            <v>283</v>
          </cell>
          <cell r="DR453">
            <v>268</v>
          </cell>
          <cell r="DS453">
            <v>294</v>
          </cell>
          <cell r="DT453">
            <v>344</v>
          </cell>
          <cell r="DU453">
            <v>434</v>
          </cell>
          <cell r="DV453">
            <v>482</v>
          </cell>
          <cell r="DW453">
            <v>353</v>
          </cell>
          <cell r="DX453">
            <v>262</v>
          </cell>
          <cell r="DY453">
            <v>232</v>
          </cell>
          <cell r="DZ453">
            <v>126</v>
          </cell>
          <cell r="EA453">
            <v>43</v>
          </cell>
          <cell r="EB453">
            <v>6</v>
          </cell>
          <cell r="EC453" t="str">
            <v>-</v>
          </cell>
        </row>
        <row r="454">
          <cell r="B454">
            <v>201</v>
          </cell>
          <cell r="C454">
            <v>15222</v>
          </cell>
          <cell r="D454">
            <v>9</v>
          </cell>
          <cell r="G454" t="str">
            <v>　　(旧 542 大潟町)</v>
          </cell>
          <cell r="DF454">
            <v>3</v>
          </cell>
          <cell r="DI454">
            <v>161</v>
          </cell>
          <cell r="DJ454">
            <v>195</v>
          </cell>
          <cell r="DK454">
            <v>237</v>
          </cell>
          <cell r="DL454">
            <v>206</v>
          </cell>
          <cell r="DM454">
            <v>168</v>
          </cell>
          <cell r="DN454">
            <v>229</v>
          </cell>
          <cell r="DO454">
            <v>233</v>
          </cell>
          <cell r="DP454">
            <v>296</v>
          </cell>
          <cell r="DQ454">
            <v>312</v>
          </cell>
          <cell r="DR454">
            <v>275</v>
          </cell>
          <cell r="DS454">
            <v>289</v>
          </cell>
          <cell r="DT454">
            <v>348</v>
          </cell>
          <cell r="DU454">
            <v>385</v>
          </cell>
          <cell r="DV454">
            <v>439</v>
          </cell>
          <cell r="DW454">
            <v>326</v>
          </cell>
          <cell r="DX454">
            <v>217</v>
          </cell>
          <cell r="DY454">
            <v>159</v>
          </cell>
          <cell r="DZ454">
            <v>108</v>
          </cell>
          <cell r="EA454">
            <v>29</v>
          </cell>
          <cell r="EB454">
            <v>3</v>
          </cell>
          <cell r="EC454">
            <v>1</v>
          </cell>
        </row>
        <row r="455">
          <cell r="B455">
            <v>201</v>
          </cell>
          <cell r="C455">
            <v>15222</v>
          </cell>
          <cell r="D455">
            <v>9</v>
          </cell>
          <cell r="G455" t="str">
            <v>　　(旧 543 頸城村)</v>
          </cell>
          <cell r="DF455">
            <v>10</v>
          </cell>
          <cell r="DI455">
            <v>176</v>
          </cell>
          <cell r="DJ455">
            <v>216</v>
          </cell>
          <cell r="DK455">
            <v>268</v>
          </cell>
          <cell r="DL455">
            <v>251</v>
          </cell>
          <cell r="DM455">
            <v>186</v>
          </cell>
          <cell r="DN455">
            <v>214</v>
          </cell>
          <cell r="DO455">
            <v>249</v>
          </cell>
          <cell r="DP455">
            <v>278</v>
          </cell>
          <cell r="DQ455">
            <v>328</v>
          </cell>
          <cell r="DR455">
            <v>306</v>
          </cell>
          <cell r="DS455">
            <v>310</v>
          </cell>
          <cell r="DT455">
            <v>359</v>
          </cell>
          <cell r="DU455">
            <v>352</v>
          </cell>
          <cell r="DV455">
            <v>341</v>
          </cell>
          <cell r="DW455">
            <v>244</v>
          </cell>
          <cell r="DX455">
            <v>199</v>
          </cell>
          <cell r="DY455">
            <v>168</v>
          </cell>
          <cell r="DZ455">
            <v>88</v>
          </cell>
          <cell r="EA455">
            <v>29</v>
          </cell>
          <cell r="EB455">
            <v>5</v>
          </cell>
          <cell r="EC455">
            <v>1</v>
          </cell>
        </row>
        <row r="456">
          <cell r="B456">
            <v>201</v>
          </cell>
          <cell r="C456">
            <v>15222</v>
          </cell>
          <cell r="D456">
            <v>9</v>
          </cell>
          <cell r="G456" t="str">
            <v>　　(旧 544 吉川町)</v>
          </cell>
          <cell r="DF456" t="str">
            <v>-</v>
          </cell>
          <cell r="DI456">
            <v>38</v>
          </cell>
          <cell r="DJ456">
            <v>67</v>
          </cell>
          <cell r="DK456">
            <v>123</v>
          </cell>
          <cell r="DL456">
            <v>104</v>
          </cell>
          <cell r="DM456">
            <v>58</v>
          </cell>
          <cell r="DN456">
            <v>58</v>
          </cell>
          <cell r="DO456">
            <v>68</v>
          </cell>
          <cell r="DP456">
            <v>103</v>
          </cell>
          <cell r="DQ456">
            <v>111</v>
          </cell>
          <cell r="DR456">
            <v>118</v>
          </cell>
          <cell r="DS456">
            <v>128</v>
          </cell>
          <cell r="DT456">
            <v>163</v>
          </cell>
          <cell r="DU456">
            <v>204</v>
          </cell>
          <cell r="DV456">
            <v>185</v>
          </cell>
          <cell r="DW456">
            <v>151</v>
          </cell>
          <cell r="DX456">
            <v>144</v>
          </cell>
          <cell r="DY456">
            <v>115</v>
          </cell>
          <cell r="DZ456">
            <v>65</v>
          </cell>
          <cell r="EA456">
            <v>20</v>
          </cell>
          <cell r="EB456">
            <v>6</v>
          </cell>
          <cell r="EC456" t="str">
            <v>-</v>
          </cell>
        </row>
        <row r="457">
          <cell r="B457">
            <v>201</v>
          </cell>
          <cell r="C457">
            <v>15222</v>
          </cell>
          <cell r="D457">
            <v>9</v>
          </cell>
          <cell r="G457" t="str">
            <v>　　(旧 546 中郷村)</v>
          </cell>
          <cell r="DF457">
            <v>3</v>
          </cell>
          <cell r="DI457">
            <v>48</v>
          </cell>
          <cell r="DJ457">
            <v>64</v>
          </cell>
          <cell r="DK457">
            <v>79</v>
          </cell>
          <cell r="DL457">
            <v>75</v>
          </cell>
          <cell r="DM457">
            <v>64</v>
          </cell>
          <cell r="DN457">
            <v>71</v>
          </cell>
          <cell r="DO457">
            <v>79</v>
          </cell>
          <cell r="DP457">
            <v>98</v>
          </cell>
          <cell r="DQ457">
            <v>123</v>
          </cell>
          <cell r="DR457">
            <v>90</v>
          </cell>
          <cell r="DS457">
            <v>127</v>
          </cell>
          <cell r="DT457">
            <v>154</v>
          </cell>
          <cell r="DU457">
            <v>188</v>
          </cell>
          <cell r="DV457">
            <v>222</v>
          </cell>
          <cell r="DW457">
            <v>119</v>
          </cell>
          <cell r="DX457">
            <v>93</v>
          </cell>
          <cell r="DY457">
            <v>87</v>
          </cell>
          <cell r="DZ457">
            <v>54</v>
          </cell>
          <cell r="EA457">
            <v>16</v>
          </cell>
          <cell r="EB457">
            <v>6</v>
          </cell>
          <cell r="EC457">
            <v>1</v>
          </cell>
        </row>
        <row r="458">
          <cell r="B458">
            <v>201</v>
          </cell>
          <cell r="C458">
            <v>15222</v>
          </cell>
          <cell r="D458">
            <v>9</v>
          </cell>
          <cell r="G458" t="str">
            <v>　　(旧 548 板倉町)</v>
          </cell>
          <cell r="DF458" t="str">
            <v>-</v>
          </cell>
          <cell r="DI458">
            <v>112</v>
          </cell>
          <cell r="DJ458">
            <v>167</v>
          </cell>
          <cell r="DK458">
            <v>187</v>
          </cell>
          <cell r="DL458">
            <v>142</v>
          </cell>
          <cell r="DM458">
            <v>100</v>
          </cell>
          <cell r="DN458">
            <v>98</v>
          </cell>
          <cell r="DO458">
            <v>132</v>
          </cell>
          <cell r="DP458">
            <v>205</v>
          </cell>
          <cell r="DQ458">
            <v>229</v>
          </cell>
          <cell r="DR458">
            <v>193</v>
          </cell>
          <cell r="DS458">
            <v>202</v>
          </cell>
          <cell r="DT458">
            <v>237</v>
          </cell>
          <cell r="DU458">
            <v>284</v>
          </cell>
          <cell r="DV458">
            <v>296</v>
          </cell>
          <cell r="DW458">
            <v>204</v>
          </cell>
          <cell r="DX458">
            <v>176</v>
          </cell>
          <cell r="DY458">
            <v>166</v>
          </cell>
          <cell r="DZ458">
            <v>96</v>
          </cell>
          <cell r="EA458">
            <v>26</v>
          </cell>
          <cell r="EB458">
            <v>11</v>
          </cell>
          <cell r="EC458">
            <v>1</v>
          </cell>
        </row>
        <row r="459">
          <cell r="B459">
            <v>201</v>
          </cell>
          <cell r="C459">
            <v>15222</v>
          </cell>
          <cell r="D459">
            <v>9</v>
          </cell>
          <cell r="G459" t="str">
            <v>　　(旧 549 清里村)</v>
          </cell>
          <cell r="DF459">
            <v>2</v>
          </cell>
          <cell r="DI459">
            <v>35</v>
          </cell>
          <cell r="DJ459">
            <v>62</v>
          </cell>
          <cell r="DK459">
            <v>79</v>
          </cell>
          <cell r="DL459">
            <v>67</v>
          </cell>
          <cell r="DM459">
            <v>55</v>
          </cell>
          <cell r="DN459">
            <v>35</v>
          </cell>
          <cell r="DO459">
            <v>64</v>
          </cell>
          <cell r="DP459">
            <v>85</v>
          </cell>
          <cell r="DQ459">
            <v>91</v>
          </cell>
          <cell r="DR459">
            <v>77</v>
          </cell>
          <cell r="DS459">
            <v>89</v>
          </cell>
          <cell r="DT459">
            <v>113</v>
          </cell>
          <cell r="DU459">
            <v>129</v>
          </cell>
          <cell r="DV459">
            <v>125</v>
          </cell>
          <cell r="DW459">
            <v>85</v>
          </cell>
          <cell r="DX459">
            <v>74</v>
          </cell>
          <cell r="DY459">
            <v>64</v>
          </cell>
          <cell r="DZ459">
            <v>34</v>
          </cell>
          <cell r="EA459">
            <v>12</v>
          </cell>
          <cell r="EB459">
            <v>2</v>
          </cell>
          <cell r="EC459">
            <v>1</v>
          </cell>
        </row>
        <row r="460">
          <cell r="B460">
            <v>201</v>
          </cell>
          <cell r="C460">
            <v>15222</v>
          </cell>
          <cell r="D460">
            <v>9</v>
          </cell>
          <cell r="G460" t="str">
            <v>　　(旧 550 三和村)</v>
          </cell>
          <cell r="DF460" t="str">
            <v>-</v>
          </cell>
          <cell r="DI460">
            <v>110</v>
          </cell>
          <cell r="DJ460">
            <v>116</v>
          </cell>
          <cell r="DK460">
            <v>160</v>
          </cell>
          <cell r="DL460">
            <v>142</v>
          </cell>
          <cell r="DM460">
            <v>71</v>
          </cell>
          <cell r="DN460">
            <v>100</v>
          </cell>
          <cell r="DO460">
            <v>139</v>
          </cell>
          <cell r="DP460">
            <v>146</v>
          </cell>
          <cell r="DQ460">
            <v>199</v>
          </cell>
          <cell r="DR460">
            <v>158</v>
          </cell>
          <cell r="DS460">
            <v>175</v>
          </cell>
          <cell r="DT460">
            <v>208</v>
          </cell>
          <cell r="DU460">
            <v>278</v>
          </cell>
          <cell r="DV460">
            <v>266</v>
          </cell>
          <cell r="DW460">
            <v>151</v>
          </cell>
          <cell r="DX460">
            <v>127</v>
          </cell>
          <cell r="DY460">
            <v>115</v>
          </cell>
          <cell r="DZ460">
            <v>61</v>
          </cell>
          <cell r="EA460">
            <v>23</v>
          </cell>
          <cell r="EB460">
            <v>7</v>
          </cell>
          <cell r="EC460" t="str">
            <v>-</v>
          </cell>
        </row>
        <row r="461">
          <cell r="B461">
            <v>201</v>
          </cell>
          <cell r="C461">
            <v>15222</v>
          </cell>
          <cell r="D461">
            <v>9</v>
          </cell>
          <cell r="G461" t="str">
            <v>　　(旧 561 名立町)</v>
          </cell>
          <cell r="DF461">
            <v>2</v>
          </cell>
          <cell r="DI461">
            <v>40</v>
          </cell>
          <cell r="DJ461">
            <v>50</v>
          </cell>
          <cell r="DK461">
            <v>40</v>
          </cell>
          <cell r="DL461">
            <v>50</v>
          </cell>
          <cell r="DM461">
            <v>41</v>
          </cell>
          <cell r="DN461">
            <v>45</v>
          </cell>
          <cell r="DO461">
            <v>52</v>
          </cell>
          <cell r="DP461">
            <v>51</v>
          </cell>
          <cell r="DQ461">
            <v>51</v>
          </cell>
          <cell r="DR461">
            <v>57</v>
          </cell>
          <cell r="DS461">
            <v>73</v>
          </cell>
          <cell r="DT461">
            <v>128</v>
          </cell>
          <cell r="DU461">
            <v>129</v>
          </cell>
          <cell r="DV461">
            <v>153</v>
          </cell>
          <cell r="DW461">
            <v>91</v>
          </cell>
          <cell r="DX461">
            <v>78</v>
          </cell>
          <cell r="DY461">
            <v>73</v>
          </cell>
          <cell r="DZ461">
            <v>51</v>
          </cell>
          <cell r="EA461">
            <v>12</v>
          </cell>
          <cell r="EB461">
            <v>2</v>
          </cell>
          <cell r="EC461" t="str">
            <v>-</v>
          </cell>
        </row>
        <row r="462">
          <cell r="B462">
            <v>201</v>
          </cell>
          <cell r="C462">
            <v>15223</v>
          </cell>
          <cell r="D462">
            <v>2</v>
          </cell>
          <cell r="G462" t="str">
            <v>阿賀野市</v>
          </cell>
          <cell r="DF462">
            <v>21</v>
          </cell>
          <cell r="DI462">
            <v>714</v>
          </cell>
          <cell r="DJ462">
            <v>926</v>
          </cell>
          <cell r="DK462">
            <v>981</v>
          </cell>
          <cell r="DL462">
            <v>1048</v>
          </cell>
          <cell r="DM462">
            <v>889</v>
          </cell>
          <cell r="DN462">
            <v>967</v>
          </cell>
          <cell r="DO462">
            <v>1138</v>
          </cell>
          <cell r="DP462">
            <v>1382</v>
          </cell>
          <cell r="DQ462">
            <v>1357</v>
          </cell>
          <cell r="DR462">
            <v>1208</v>
          </cell>
          <cell r="DS462">
            <v>1326</v>
          </cell>
          <cell r="DT462">
            <v>1549</v>
          </cell>
          <cell r="DU462">
            <v>1955</v>
          </cell>
          <cell r="DV462">
            <v>1739</v>
          </cell>
          <cell r="DW462">
            <v>1152</v>
          </cell>
          <cell r="DX462">
            <v>990</v>
          </cell>
          <cell r="DY462">
            <v>849</v>
          </cell>
          <cell r="DZ462">
            <v>506</v>
          </cell>
          <cell r="EA462">
            <v>145</v>
          </cell>
          <cell r="EB462">
            <v>26</v>
          </cell>
          <cell r="EC462">
            <v>2</v>
          </cell>
        </row>
        <row r="463">
          <cell r="B463">
            <v>201</v>
          </cell>
          <cell r="C463">
            <v>15223</v>
          </cell>
          <cell r="D463">
            <v>9</v>
          </cell>
          <cell r="G463" t="str">
            <v>　　(旧 301 安田町)</v>
          </cell>
          <cell r="DF463">
            <v>8</v>
          </cell>
          <cell r="DI463">
            <v>166</v>
          </cell>
          <cell r="DJ463">
            <v>198</v>
          </cell>
          <cell r="DK463">
            <v>228</v>
          </cell>
          <cell r="DL463">
            <v>253</v>
          </cell>
          <cell r="DM463">
            <v>212</v>
          </cell>
          <cell r="DN463">
            <v>221</v>
          </cell>
          <cell r="DO463">
            <v>253</v>
          </cell>
          <cell r="DP463">
            <v>300</v>
          </cell>
          <cell r="DQ463">
            <v>285</v>
          </cell>
          <cell r="DR463">
            <v>278</v>
          </cell>
          <cell r="DS463">
            <v>284</v>
          </cell>
          <cell r="DT463">
            <v>346</v>
          </cell>
          <cell r="DU463">
            <v>417</v>
          </cell>
          <cell r="DV463">
            <v>360</v>
          </cell>
          <cell r="DW463">
            <v>261</v>
          </cell>
          <cell r="DX463">
            <v>207</v>
          </cell>
          <cell r="DY463">
            <v>206</v>
          </cell>
          <cell r="DZ463">
            <v>117</v>
          </cell>
          <cell r="EA463">
            <v>39</v>
          </cell>
          <cell r="EB463">
            <v>8</v>
          </cell>
          <cell r="EC463">
            <v>1</v>
          </cell>
        </row>
        <row r="464">
          <cell r="B464">
            <v>201</v>
          </cell>
          <cell r="C464">
            <v>15223</v>
          </cell>
          <cell r="D464">
            <v>9</v>
          </cell>
          <cell r="G464" t="str">
            <v>　　(旧 302 京ケ瀬村)</v>
          </cell>
          <cell r="DF464">
            <v>3</v>
          </cell>
          <cell r="DI464">
            <v>108</v>
          </cell>
          <cell r="DJ464">
            <v>161</v>
          </cell>
          <cell r="DK464">
            <v>150</v>
          </cell>
          <cell r="DL464">
            <v>181</v>
          </cell>
          <cell r="DM464">
            <v>141</v>
          </cell>
          <cell r="DN464">
            <v>180</v>
          </cell>
          <cell r="DO464">
            <v>208</v>
          </cell>
          <cell r="DP464">
            <v>239</v>
          </cell>
          <cell r="DQ464">
            <v>205</v>
          </cell>
          <cell r="DR464">
            <v>180</v>
          </cell>
          <cell r="DS464">
            <v>211</v>
          </cell>
          <cell r="DT464">
            <v>272</v>
          </cell>
          <cell r="DU464">
            <v>374</v>
          </cell>
          <cell r="DV464">
            <v>302</v>
          </cell>
          <cell r="DW464">
            <v>169</v>
          </cell>
          <cell r="DX464">
            <v>153</v>
          </cell>
          <cell r="DY464">
            <v>121</v>
          </cell>
          <cell r="DZ464">
            <v>69</v>
          </cell>
          <cell r="EA464">
            <v>33</v>
          </cell>
          <cell r="EB464">
            <v>4</v>
          </cell>
          <cell r="EC464" t="str">
            <v>-</v>
          </cell>
        </row>
        <row r="465">
          <cell r="B465">
            <v>201</v>
          </cell>
          <cell r="C465">
            <v>15223</v>
          </cell>
          <cell r="D465">
            <v>9</v>
          </cell>
          <cell r="G465" t="str">
            <v>　　(旧 303 水原町)</v>
          </cell>
          <cell r="DF465">
            <v>9</v>
          </cell>
          <cell r="DI465">
            <v>340</v>
          </cell>
          <cell r="DJ465">
            <v>444</v>
          </cell>
          <cell r="DK465">
            <v>463</v>
          </cell>
          <cell r="DL465">
            <v>443</v>
          </cell>
          <cell r="DM465">
            <v>403</v>
          </cell>
          <cell r="DN465">
            <v>392</v>
          </cell>
          <cell r="DO465">
            <v>487</v>
          </cell>
          <cell r="DP465">
            <v>627</v>
          </cell>
          <cell r="DQ465">
            <v>636</v>
          </cell>
          <cell r="DR465">
            <v>567</v>
          </cell>
          <cell r="DS465">
            <v>585</v>
          </cell>
          <cell r="DT465">
            <v>614</v>
          </cell>
          <cell r="DU465">
            <v>772</v>
          </cell>
          <cell r="DV465">
            <v>715</v>
          </cell>
          <cell r="DW465">
            <v>495</v>
          </cell>
          <cell r="DX465">
            <v>425</v>
          </cell>
          <cell r="DY465">
            <v>349</v>
          </cell>
          <cell r="DZ465">
            <v>202</v>
          </cell>
          <cell r="EA465">
            <v>46</v>
          </cell>
          <cell r="EB465">
            <v>11</v>
          </cell>
          <cell r="EC465" t="str">
            <v>-</v>
          </cell>
        </row>
        <row r="466">
          <cell r="B466">
            <v>201</v>
          </cell>
          <cell r="C466">
            <v>15223</v>
          </cell>
          <cell r="D466">
            <v>9</v>
          </cell>
          <cell r="G466" t="str">
            <v>　　(旧 304 笹神村)</v>
          </cell>
          <cell r="DF466">
            <v>1</v>
          </cell>
          <cell r="DI466">
            <v>100</v>
          </cell>
          <cell r="DJ466">
            <v>123</v>
          </cell>
          <cell r="DK466">
            <v>140</v>
          </cell>
          <cell r="DL466">
            <v>171</v>
          </cell>
          <cell r="DM466">
            <v>133</v>
          </cell>
          <cell r="DN466">
            <v>174</v>
          </cell>
          <cell r="DO466">
            <v>190</v>
          </cell>
          <cell r="DP466">
            <v>216</v>
          </cell>
          <cell r="DQ466">
            <v>231</v>
          </cell>
          <cell r="DR466">
            <v>183</v>
          </cell>
          <cell r="DS466">
            <v>246</v>
          </cell>
          <cell r="DT466">
            <v>317</v>
          </cell>
          <cell r="DU466">
            <v>392</v>
          </cell>
          <cell r="DV466">
            <v>362</v>
          </cell>
          <cell r="DW466">
            <v>227</v>
          </cell>
          <cell r="DX466">
            <v>205</v>
          </cell>
          <cell r="DY466">
            <v>173</v>
          </cell>
          <cell r="DZ466">
            <v>118</v>
          </cell>
          <cell r="EA466">
            <v>27</v>
          </cell>
          <cell r="EB466">
            <v>3</v>
          </cell>
          <cell r="EC466">
            <v>1</v>
          </cell>
        </row>
        <row r="467">
          <cell r="B467">
            <v>201</v>
          </cell>
          <cell r="C467">
            <v>15224</v>
          </cell>
          <cell r="D467">
            <v>2</v>
          </cell>
          <cell r="G467" t="str">
            <v>佐渡市</v>
          </cell>
          <cell r="DF467">
            <v>34</v>
          </cell>
          <cell r="DI467">
            <v>944</v>
          </cell>
          <cell r="DJ467">
            <v>1093</v>
          </cell>
          <cell r="DK467">
            <v>1080</v>
          </cell>
          <cell r="DL467">
            <v>1058</v>
          </cell>
          <cell r="DM467">
            <v>730</v>
          </cell>
          <cell r="DN467">
            <v>975</v>
          </cell>
          <cell r="DO467">
            <v>1242</v>
          </cell>
          <cell r="DP467">
            <v>1414</v>
          </cell>
          <cell r="DQ467">
            <v>1535</v>
          </cell>
          <cell r="DR467">
            <v>1547</v>
          </cell>
          <cell r="DS467">
            <v>1787</v>
          </cell>
          <cell r="DT467">
            <v>2048</v>
          </cell>
          <cell r="DU467">
            <v>2292</v>
          </cell>
          <cell r="DV467">
            <v>2727</v>
          </cell>
          <cell r="DW467">
            <v>1864</v>
          </cell>
          <cell r="DX467">
            <v>1833</v>
          </cell>
          <cell r="DY467">
            <v>1731</v>
          </cell>
          <cell r="DZ467">
            <v>1054</v>
          </cell>
          <cell r="EA467">
            <v>373</v>
          </cell>
          <cell r="EB467">
            <v>77</v>
          </cell>
          <cell r="EC467">
            <v>12</v>
          </cell>
        </row>
        <row r="468">
          <cell r="B468">
            <v>201</v>
          </cell>
          <cell r="C468">
            <v>15224</v>
          </cell>
          <cell r="D468">
            <v>9</v>
          </cell>
          <cell r="G468" t="str">
            <v>　　(旧 219 両津市)</v>
          </cell>
          <cell r="DF468">
            <v>1</v>
          </cell>
          <cell r="DI468">
            <v>179</v>
          </cell>
          <cell r="DJ468">
            <v>239</v>
          </cell>
          <cell r="DK468">
            <v>242</v>
          </cell>
          <cell r="DL468">
            <v>248</v>
          </cell>
          <cell r="DM468">
            <v>166</v>
          </cell>
          <cell r="DN468">
            <v>195</v>
          </cell>
          <cell r="DO468">
            <v>268</v>
          </cell>
          <cell r="DP468">
            <v>261</v>
          </cell>
          <cell r="DQ468">
            <v>339</v>
          </cell>
          <cell r="DR468">
            <v>350</v>
          </cell>
          <cell r="DS468">
            <v>440</v>
          </cell>
          <cell r="DT468">
            <v>479</v>
          </cell>
          <cell r="DU468">
            <v>540</v>
          </cell>
          <cell r="DV468">
            <v>649</v>
          </cell>
          <cell r="DW468">
            <v>409</v>
          </cell>
          <cell r="DX468">
            <v>430</v>
          </cell>
          <cell r="DY468">
            <v>451</v>
          </cell>
          <cell r="DZ468">
            <v>243</v>
          </cell>
          <cell r="EA468">
            <v>82</v>
          </cell>
          <cell r="EB468">
            <v>17</v>
          </cell>
          <cell r="EC468">
            <v>2</v>
          </cell>
        </row>
        <row r="469">
          <cell r="B469">
            <v>201</v>
          </cell>
          <cell r="C469">
            <v>15224</v>
          </cell>
          <cell r="D469">
            <v>9</v>
          </cell>
          <cell r="G469" t="str">
            <v>　　(旧 601 相川町)</v>
          </cell>
          <cell r="DF469">
            <v>1</v>
          </cell>
          <cell r="DI469">
            <v>91</v>
          </cell>
          <cell r="DJ469">
            <v>110</v>
          </cell>
          <cell r="DK469">
            <v>120</v>
          </cell>
          <cell r="DL469">
            <v>95</v>
          </cell>
          <cell r="DM469">
            <v>82</v>
          </cell>
          <cell r="DN469">
            <v>90</v>
          </cell>
          <cell r="DO469">
            <v>140</v>
          </cell>
          <cell r="DP469">
            <v>135</v>
          </cell>
          <cell r="DQ469">
            <v>152</v>
          </cell>
          <cell r="DR469">
            <v>180</v>
          </cell>
          <cell r="DS469">
            <v>208</v>
          </cell>
          <cell r="DT469">
            <v>257</v>
          </cell>
          <cell r="DU469">
            <v>308</v>
          </cell>
          <cell r="DV469">
            <v>373</v>
          </cell>
          <cell r="DW469">
            <v>253</v>
          </cell>
          <cell r="DX469">
            <v>241</v>
          </cell>
          <cell r="DY469">
            <v>236</v>
          </cell>
          <cell r="DZ469">
            <v>104</v>
          </cell>
          <cell r="EA469">
            <v>33</v>
          </cell>
          <cell r="EB469">
            <v>10</v>
          </cell>
          <cell r="EC469">
            <v>3</v>
          </cell>
        </row>
        <row r="470">
          <cell r="B470">
            <v>201</v>
          </cell>
          <cell r="C470">
            <v>15224</v>
          </cell>
          <cell r="D470">
            <v>9</v>
          </cell>
          <cell r="G470" t="str">
            <v>　　(旧 602 佐和田町)</v>
          </cell>
          <cell r="DF470">
            <v>21</v>
          </cell>
          <cell r="DI470">
            <v>168</v>
          </cell>
          <cell r="DJ470">
            <v>191</v>
          </cell>
          <cell r="DK470">
            <v>168</v>
          </cell>
          <cell r="DL470">
            <v>173</v>
          </cell>
          <cell r="DM470">
            <v>131</v>
          </cell>
          <cell r="DN470">
            <v>224</v>
          </cell>
          <cell r="DO470">
            <v>222</v>
          </cell>
          <cell r="DP470">
            <v>263</v>
          </cell>
          <cell r="DQ470">
            <v>311</v>
          </cell>
          <cell r="DR470">
            <v>315</v>
          </cell>
          <cell r="DS470">
            <v>268</v>
          </cell>
          <cell r="DT470">
            <v>291</v>
          </cell>
          <cell r="DU470">
            <v>325</v>
          </cell>
          <cell r="DV470">
            <v>351</v>
          </cell>
          <cell r="DW470">
            <v>266</v>
          </cell>
          <cell r="DX470">
            <v>229</v>
          </cell>
          <cell r="DY470">
            <v>202</v>
          </cell>
          <cell r="DZ470">
            <v>123</v>
          </cell>
          <cell r="EA470">
            <v>34</v>
          </cell>
          <cell r="EB470">
            <v>12</v>
          </cell>
          <cell r="EC470" t="str">
            <v>-</v>
          </cell>
        </row>
        <row r="471">
          <cell r="B471">
            <v>201</v>
          </cell>
          <cell r="C471">
            <v>15224</v>
          </cell>
          <cell r="D471">
            <v>9</v>
          </cell>
          <cell r="G471" t="str">
            <v>　　(旧 603 金井町)</v>
          </cell>
          <cell r="DF471">
            <v>8</v>
          </cell>
          <cell r="DI471">
            <v>173</v>
          </cell>
          <cell r="DJ471">
            <v>159</v>
          </cell>
          <cell r="DK471">
            <v>143</v>
          </cell>
          <cell r="DL471">
            <v>170</v>
          </cell>
          <cell r="DM471">
            <v>104</v>
          </cell>
          <cell r="DN471">
            <v>145</v>
          </cell>
          <cell r="DO471">
            <v>200</v>
          </cell>
          <cell r="DP471">
            <v>199</v>
          </cell>
          <cell r="DQ471">
            <v>193</v>
          </cell>
          <cell r="DR471">
            <v>164</v>
          </cell>
          <cell r="DS471">
            <v>180</v>
          </cell>
          <cell r="DT471">
            <v>215</v>
          </cell>
          <cell r="DU471">
            <v>209</v>
          </cell>
          <cell r="DV471">
            <v>254</v>
          </cell>
          <cell r="DW471">
            <v>189</v>
          </cell>
          <cell r="DX471">
            <v>173</v>
          </cell>
          <cell r="DY471">
            <v>139</v>
          </cell>
          <cell r="DZ471">
            <v>103</v>
          </cell>
          <cell r="EA471">
            <v>39</v>
          </cell>
          <cell r="EB471">
            <v>5</v>
          </cell>
          <cell r="EC471">
            <v>1</v>
          </cell>
        </row>
        <row r="472">
          <cell r="B472">
            <v>201</v>
          </cell>
          <cell r="C472">
            <v>15224</v>
          </cell>
          <cell r="D472">
            <v>9</v>
          </cell>
          <cell r="G472" t="str">
            <v>　　(旧 604 新穂村)</v>
          </cell>
          <cell r="DF472">
            <v>2</v>
          </cell>
          <cell r="DI472">
            <v>61</v>
          </cell>
          <cell r="DJ472">
            <v>84</v>
          </cell>
          <cell r="DK472">
            <v>74</v>
          </cell>
          <cell r="DL472">
            <v>66</v>
          </cell>
          <cell r="DM472">
            <v>35</v>
          </cell>
          <cell r="DN472">
            <v>51</v>
          </cell>
          <cell r="DO472">
            <v>63</v>
          </cell>
          <cell r="DP472">
            <v>91</v>
          </cell>
          <cell r="DQ472">
            <v>93</v>
          </cell>
          <cell r="DR472">
            <v>103</v>
          </cell>
          <cell r="DS472">
            <v>114</v>
          </cell>
          <cell r="DT472">
            <v>150</v>
          </cell>
          <cell r="DU472">
            <v>136</v>
          </cell>
          <cell r="DV472">
            <v>189</v>
          </cell>
          <cell r="DW472">
            <v>105</v>
          </cell>
          <cell r="DX472">
            <v>145</v>
          </cell>
          <cell r="DY472">
            <v>137</v>
          </cell>
          <cell r="DZ472">
            <v>77</v>
          </cell>
          <cell r="EA472">
            <v>24</v>
          </cell>
          <cell r="EB472">
            <v>5</v>
          </cell>
          <cell r="EC472" t="str">
            <v>-</v>
          </cell>
        </row>
        <row r="473">
          <cell r="B473">
            <v>201</v>
          </cell>
          <cell r="C473">
            <v>15224</v>
          </cell>
          <cell r="D473">
            <v>9</v>
          </cell>
          <cell r="G473" t="str">
            <v>　　(旧 605 畑野町)</v>
          </cell>
          <cell r="DF473" t="str">
            <v>-</v>
          </cell>
          <cell r="DI473">
            <v>70</v>
          </cell>
          <cell r="DJ473">
            <v>91</v>
          </cell>
          <cell r="DK473">
            <v>85</v>
          </cell>
          <cell r="DL473">
            <v>71</v>
          </cell>
          <cell r="DM473">
            <v>43</v>
          </cell>
          <cell r="DN473">
            <v>59</v>
          </cell>
          <cell r="DO473">
            <v>76</v>
          </cell>
          <cell r="DP473">
            <v>102</v>
          </cell>
          <cell r="DQ473">
            <v>131</v>
          </cell>
          <cell r="DR473">
            <v>111</v>
          </cell>
          <cell r="DS473">
            <v>143</v>
          </cell>
          <cell r="DT473">
            <v>142</v>
          </cell>
          <cell r="DU473">
            <v>174</v>
          </cell>
          <cell r="DV473">
            <v>206</v>
          </cell>
          <cell r="DW473">
            <v>142</v>
          </cell>
          <cell r="DX473">
            <v>141</v>
          </cell>
          <cell r="DY473">
            <v>135</v>
          </cell>
          <cell r="DZ473">
            <v>95</v>
          </cell>
          <cell r="EA473">
            <v>32</v>
          </cell>
          <cell r="EB473">
            <v>6</v>
          </cell>
          <cell r="EC473">
            <v>1</v>
          </cell>
        </row>
        <row r="474">
          <cell r="B474">
            <v>201</v>
          </cell>
          <cell r="C474">
            <v>15224</v>
          </cell>
          <cell r="D474">
            <v>9</v>
          </cell>
          <cell r="G474" t="str">
            <v>　　(旧 606 真野町)</v>
          </cell>
          <cell r="DF474" t="str">
            <v>-</v>
          </cell>
          <cell r="DI474">
            <v>72</v>
          </cell>
          <cell r="DJ474">
            <v>96</v>
          </cell>
          <cell r="DK474">
            <v>103</v>
          </cell>
          <cell r="DL474">
            <v>99</v>
          </cell>
          <cell r="DM474">
            <v>53</v>
          </cell>
          <cell r="DN474">
            <v>61</v>
          </cell>
          <cell r="DO474">
            <v>97</v>
          </cell>
          <cell r="DP474">
            <v>133</v>
          </cell>
          <cell r="DQ474">
            <v>120</v>
          </cell>
          <cell r="DR474">
            <v>121</v>
          </cell>
          <cell r="DS474">
            <v>162</v>
          </cell>
          <cell r="DT474">
            <v>184</v>
          </cell>
          <cell r="DU474">
            <v>232</v>
          </cell>
          <cell r="DV474">
            <v>236</v>
          </cell>
          <cell r="DW474">
            <v>170</v>
          </cell>
          <cell r="DX474">
            <v>161</v>
          </cell>
          <cell r="DY474">
            <v>140</v>
          </cell>
          <cell r="DZ474">
            <v>98</v>
          </cell>
          <cell r="EA474">
            <v>45</v>
          </cell>
          <cell r="EB474">
            <v>6</v>
          </cell>
          <cell r="EC474">
            <v>2</v>
          </cell>
        </row>
        <row r="475">
          <cell r="B475">
            <v>201</v>
          </cell>
          <cell r="C475">
            <v>15224</v>
          </cell>
          <cell r="D475">
            <v>9</v>
          </cell>
          <cell r="G475" t="str">
            <v>　　(旧 607 小木町)</v>
          </cell>
          <cell r="DF475">
            <v>1</v>
          </cell>
          <cell r="DI475">
            <v>42</v>
          </cell>
          <cell r="DJ475">
            <v>30</v>
          </cell>
          <cell r="DK475">
            <v>51</v>
          </cell>
          <cell r="DL475">
            <v>50</v>
          </cell>
          <cell r="DM475">
            <v>46</v>
          </cell>
          <cell r="DN475">
            <v>39</v>
          </cell>
          <cell r="DO475">
            <v>48</v>
          </cell>
          <cell r="DP475">
            <v>68</v>
          </cell>
          <cell r="DQ475">
            <v>80</v>
          </cell>
          <cell r="DR475">
            <v>81</v>
          </cell>
          <cell r="DS475">
            <v>99</v>
          </cell>
          <cell r="DT475">
            <v>106</v>
          </cell>
          <cell r="DU475">
            <v>127</v>
          </cell>
          <cell r="DV475">
            <v>160</v>
          </cell>
          <cell r="DW475">
            <v>116</v>
          </cell>
          <cell r="DX475">
            <v>120</v>
          </cell>
          <cell r="DY475">
            <v>86</v>
          </cell>
          <cell r="DZ475">
            <v>65</v>
          </cell>
          <cell r="EA475">
            <v>22</v>
          </cell>
          <cell r="EB475">
            <v>7</v>
          </cell>
          <cell r="EC475" t="str">
            <v>-</v>
          </cell>
        </row>
        <row r="476">
          <cell r="B476">
            <v>201</v>
          </cell>
          <cell r="C476">
            <v>15224</v>
          </cell>
          <cell r="D476">
            <v>9</v>
          </cell>
          <cell r="G476" t="str">
            <v>　　(旧 608 羽茂町)</v>
          </cell>
          <cell r="DF476" t="str">
            <v>-</v>
          </cell>
          <cell r="DI476">
            <v>48</v>
          </cell>
          <cell r="DJ476">
            <v>48</v>
          </cell>
          <cell r="DK476">
            <v>42</v>
          </cell>
          <cell r="DL476">
            <v>48</v>
          </cell>
          <cell r="DM476">
            <v>38</v>
          </cell>
          <cell r="DN476">
            <v>62</v>
          </cell>
          <cell r="DO476">
            <v>73</v>
          </cell>
          <cell r="DP476">
            <v>104</v>
          </cell>
          <cell r="DQ476">
            <v>70</v>
          </cell>
          <cell r="DR476">
            <v>71</v>
          </cell>
          <cell r="DS476">
            <v>117</v>
          </cell>
          <cell r="DT476">
            <v>120</v>
          </cell>
          <cell r="DU476">
            <v>130</v>
          </cell>
          <cell r="DV476">
            <v>188</v>
          </cell>
          <cell r="DW476">
            <v>135</v>
          </cell>
          <cell r="DX476">
            <v>111</v>
          </cell>
          <cell r="DY476">
            <v>104</v>
          </cell>
          <cell r="DZ476">
            <v>95</v>
          </cell>
          <cell r="EA476">
            <v>31</v>
          </cell>
          <cell r="EB476">
            <v>4</v>
          </cell>
          <cell r="EC476">
            <v>1</v>
          </cell>
        </row>
        <row r="477">
          <cell r="B477">
            <v>201</v>
          </cell>
          <cell r="C477">
            <v>15224</v>
          </cell>
          <cell r="D477">
            <v>9</v>
          </cell>
          <cell r="G477" t="str">
            <v>　　(旧 609 赤泊村)</v>
          </cell>
          <cell r="DF477" t="str">
            <v>-</v>
          </cell>
          <cell r="DI477">
            <v>40</v>
          </cell>
          <cell r="DJ477">
            <v>45</v>
          </cell>
          <cell r="DK477">
            <v>52</v>
          </cell>
          <cell r="DL477">
            <v>38</v>
          </cell>
          <cell r="DM477">
            <v>32</v>
          </cell>
          <cell r="DN477">
            <v>49</v>
          </cell>
          <cell r="DO477">
            <v>55</v>
          </cell>
          <cell r="DP477">
            <v>58</v>
          </cell>
          <cell r="DQ477">
            <v>46</v>
          </cell>
          <cell r="DR477">
            <v>51</v>
          </cell>
          <cell r="DS477">
            <v>56</v>
          </cell>
          <cell r="DT477">
            <v>104</v>
          </cell>
          <cell r="DU477">
            <v>111</v>
          </cell>
          <cell r="DV477">
            <v>121</v>
          </cell>
          <cell r="DW477">
            <v>79</v>
          </cell>
          <cell r="DX477">
            <v>82</v>
          </cell>
          <cell r="DY477">
            <v>101</v>
          </cell>
          <cell r="DZ477">
            <v>51</v>
          </cell>
          <cell r="EA477">
            <v>31</v>
          </cell>
          <cell r="EB477">
            <v>5</v>
          </cell>
          <cell r="EC477">
            <v>2</v>
          </cell>
        </row>
        <row r="478">
          <cell r="B478">
            <v>201</v>
          </cell>
          <cell r="C478">
            <v>15225</v>
          </cell>
          <cell r="D478">
            <v>2</v>
          </cell>
          <cell r="G478" t="str">
            <v>魚沼市</v>
          </cell>
          <cell r="DF478">
            <v>32</v>
          </cell>
          <cell r="DI478">
            <v>589</v>
          </cell>
          <cell r="DJ478">
            <v>741</v>
          </cell>
          <cell r="DK478">
            <v>836</v>
          </cell>
          <cell r="DL478">
            <v>836</v>
          </cell>
          <cell r="DM478">
            <v>587</v>
          </cell>
          <cell r="DN478">
            <v>751</v>
          </cell>
          <cell r="DO478">
            <v>920</v>
          </cell>
          <cell r="DP478">
            <v>1096</v>
          </cell>
          <cell r="DQ478">
            <v>1070</v>
          </cell>
          <cell r="DR478">
            <v>1114</v>
          </cell>
          <cell r="DS478">
            <v>1164</v>
          </cell>
          <cell r="DT478">
            <v>1441</v>
          </cell>
          <cell r="DU478">
            <v>1712</v>
          </cell>
          <cell r="DV478">
            <v>1588</v>
          </cell>
          <cell r="DW478">
            <v>1096</v>
          </cell>
          <cell r="DX478">
            <v>1052</v>
          </cell>
          <cell r="DY478">
            <v>814</v>
          </cell>
          <cell r="DZ478">
            <v>536</v>
          </cell>
          <cell r="EA478">
            <v>187</v>
          </cell>
          <cell r="EB478">
            <v>37</v>
          </cell>
          <cell r="EC478">
            <v>8</v>
          </cell>
        </row>
        <row r="479">
          <cell r="B479">
            <v>201</v>
          </cell>
          <cell r="C479">
            <v>15225</v>
          </cell>
          <cell r="D479">
            <v>9</v>
          </cell>
          <cell r="G479" t="str">
            <v>　　(旧 442 堀之内町)</v>
          </cell>
          <cell r="DF479">
            <v>2</v>
          </cell>
          <cell r="DI479">
            <v>101</v>
          </cell>
          <cell r="DJ479">
            <v>176</v>
          </cell>
          <cell r="DK479">
            <v>178</v>
          </cell>
          <cell r="DL479">
            <v>192</v>
          </cell>
          <cell r="DM479">
            <v>130</v>
          </cell>
          <cell r="DN479">
            <v>159</v>
          </cell>
          <cell r="DO479">
            <v>203</v>
          </cell>
          <cell r="DP479">
            <v>240</v>
          </cell>
          <cell r="DQ479">
            <v>225</v>
          </cell>
          <cell r="DR479">
            <v>223</v>
          </cell>
          <cell r="DS479">
            <v>234</v>
          </cell>
          <cell r="DT479">
            <v>293</v>
          </cell>
          <cell r="DU479">
            <v>368</v>
          </cell>
          <cell r="DV479">
            <v>358</v>
          </cell>
          <cell r="DW479">
            <v>265</v>
          </cell>
          <cell r="DX479">
            <v>222</v>
          </cell>
          <cell r="DY479">
            <v>178</v>
          </cell>
          <cell r="DZ479">
            <v>125</v>
          </cell>
          <cell r="EA479">
            <v>37</v>
          </cell>
          <cell r="EB479">
            <v>7</v>
          </cell>
          <cell r="EC479">
            <v>1</v>
          </cell>
        </row>
        <row r="480">
          <cell r="B480">
            <v>201</v>
          </cell>
          <cell r="C480">
            <v>15225</v>
          </cell>
          <cell r="D480">
            <v>9</v>
          </cell>
          <cell r="G480" t="str">
            <v>　　(旧 443 小出町)</v>
          </cell>
          <cell r="DF480">
            <v>15</v>
          </cell>
          <cell r="DI480">
            <v>203</v>
          </cell>
          <cell r="DJ480">
            <v>221</v>
          </cell>
          <cell r="DK480">
            <v>268</v>
          </cell>
          <cell r="DL480">
            <v>247</v>
          </cell>
          <cell r="DM480">
            <v>177</v>
          </cell>
          <cell r="DN480">
            <v>251</v>
          </cell>
          <cell r="DO480">
            <v>290</v>
          </cell>
          <cell r="DP480">
            <v>337</v>
          </cell>
          <cell r="DQ480">
            <v>314</v>
          </cell>
          <cell r="DR480">
            <v>364</v>
          </cell>
          <cell r="DS480">
            <v>367</v>
          </cell>
          <cell r="DT480">
            <v>401</v>
          </cell>
          <cell r="DU480">
            <v>470</v>
          </cell>
          <cell r="DV480">
            <v>399</v>
          </cell>
          <cell r="DW480">
            <v>307</v>
          </cell>
          <cell r="DX480">
            <v>287</v>
          </cell>
          <cell r="DY480">
            <v>229</v>
          </cell>
          <cell r="DZ480">
            <v>158</v>
          </cell>
          <cell r="EA480">
            <v>56</v>
          </cell>
          <cell r="EB480">
            <v>13</v>
          </cell>
          <cell r="EC480">
            <v>5</v>
          </cell>
        </row>
        <row r="481">
          <cell r="B481">
            <v>201</v>
          </cell>
          <cell r="C481">
            <v>15225</v>
          </cell>
          <cell r="D481">
            <v>9</v>
          </cell>
          <cell r="G481" t="str">
            <v>　　(旧 444 湯之谷村)</v>
          </cell>
          <cell r="DF481">
            <v>11</v>
          </cell>
          <cell r="DI481">
            <v>122</v>
          </cell>
          <cell r="DJ481">
            <v>131</v>
          </cell>
          <cell r="DK481">
            <v>137</v>
          </cell>
          <cell r="DL481">
            <v>128</v>
          </cell>
          <cell r="DM481">
            <v>101</v>
          </cell>
          <cell r="DN481">
            <v>116</v>
          </cell>
          <cell r="DO481">
            <v>165</v>
          </cell>
          <cell r="DP481">
            <v>198</v>
          </cell>
          <cell r="DQ481">
            <v>192</v>
          </cell>
          <cell r="DR481">
            <v>186</v>
          </cell>
          <cell r="DS481">
            <v>189</v>
          </cell>
          <cell r="DT481">
            <v>206</v>
          </cell>
          <cell r="DU481">
            <v>249</v>
          </cell>
          <cell r="DV481">
            <v>231</v>
          </cell>
          <cell r="DW481">
            <v>160</v>
          </cell>
          <cell r="DX481">
            <v>130</v>
          </cell>
          <cell r="DY481">
            <v>105</v>
          </cell>
          <cell r="DZ481">
            <v>61</v>
          </cell>
          <cell r="EA481">
            <v>28</v>
          </cell>
          <cell r="EB481">
            <v>3</v>
          </cell>
          <cell r="EC481" t="str">
            <v>-</v>
          </cell>
        </row>
        <row r="482">
          <cell r="B482">
            <v>201</v>
          </cell>
          <cell r="C482">
            <v>15225</v>
          </cell>
          <cell r="D482">
            <v>9</v>
          </cell>
          <cell r="G482" t="str">
            <v>　　(旧 445 広神村)</v>
          </cell>
          <cell r="DF482">
            <v>3</v>
          </cell>
          <cell r="DI482">
            <v>116</v>
          </cell>
          <cell r="DJ482">
            <v>141</v>
          </cell>
          <cell r="DK482">
            <v>182</v>
          </cell>
          <cell r="DL482">
            <v>183</v>
          </cell>
          <cell r="DM482">
            <v>116</v>
          </cell>
          <cell r="DN482">
            <v>147</v>
          </cell>
          <cell r="DO482">
            <v>168</v>
          </cell>
          <cell r="DP482">
            <v>212</v>
          </cell>
          <cell r="DQ482">
            <v>222</v>
          </cell>
          <cell r="DR482">
            <v>196</v>
          </cell>
          <cell r="DS482">
            <v>223</v>
          </cell>
          <cell r="DT482">
            <v>301</v>
          </cell>
          <cell r="DU482">
            <v>386</v>
          </cell>
          <cell r="DV482">
            <v>336</v>
          </cell>
          <cell r="DW482">
            <v>196</v>
          </cell>
          <cell r="DX482">
            <v>220</v>
          </cell>
          <cell r="DY482">
            <v>162</v>
          </cell>
          <cell r="DZ482">
            <v>94</v>
          </cell>
          <cell r="EA482">
            <v>40</v>
          </cell>
          <cell r="EB482">
            <v>11</v>
          </cell>
          <cell r="EC482">
            <v>1</v>
          </cell>
        </row>
        <row r="483">
          <cell r="B483">
            <v>201</v>
          </cell>
          <cell r="C483">
            <v>15225</v>
          </cell>
          <cell r="D483">
            <v>9</v>
          </cell>
          <cell r="G483" t="str">
            <v>　　(旧 446 守門村)</v>
          </cell>
          <cell r="DF483">
            <v>1</v>
          </cell>
          <cell r="DI483">
            <v>37</v>
          </cell>
          <cell r="DJ483">
            <v>47</v>
          </cell>
          <cell r="DK483">
            <v>45</v>
          </cell>
          <cell r="DL483">
            <v>62</v>
          </cell>
          <cell r="DM483">
            <v>50</v>
          </cell>
          <cell r="DN483">
            <v>63</v>
          </cell>
          <cell r="DO483">
            <v>78</v>
          </cell>
          <cell r="DP483">
            <v>76</v>
          </cell>
          <cell r="DQ483">
            <v>84</v>
          </cell>
          <cell r="DR483">
            <v>104</v>
          </cell>
          <cell r="DS483">
            <v>115</v>
          </cell>
          <cell r="DT483">
            <v>180</v>
          </cell>
          <cell r="DU483">
            <v>176</v>
          </cell>
          <cell r="DV483">
            <v>190</v>
          </cell>
          <cell r="DW483">
            <v>110</v>
          </cell>
          <cell r="DX483">
            <v>134</v>
          </cell>
          <cell r="DY483">
            <v>100</v>
          </cell>
          <cell r="DZ483">
            <v>69</v>
          </cell>
          <cell r="EA483">
            <v>19</v>
          </cell>
          <cell r="EB483">
            <v>1</v>
          </cell>
          <cell r="EC483" t="str">
            <v>-</v>
          </cell>
        </row>
        <row r="484">
          <cell r="B484">
            <v>201</v>
          </cell>
          <cell r="C484">
            <v>15225</v>
          </cell>
          <cell r="D484">
            <v>9</v>
          </cell>
          <cell r="G484" t="str">
            <v>　　(旧 447 入広瀬村)</v>
          </cell>
          <cell r="DF484" t="str">
            <v>-</v>
          </cell>
          <cell r="DI484">
            <v>10</v>
          </cell>
          <cell r="DJ484">
            <v>25</v>
          </cell>
          <cell r="DK484">
            <v>26</v>
          </cell>
          <cell r="DL484">
            <v>24</v>
          </cell>
          <cell r="DM484">
            <v>13</v>
          </cell>
          <cell r="DN484">
            <v>15</v>
          </cell>
          <cell r="DO484">
            <v>16</v>
          </cell>
          <cell r="DP484">
            <v>33</v>
          </cell>
          <cell r="DQ484">
            <v>33</v>
          </cell>
          <cell r="DR484">
            <v>41</v>
          </cell>
          <cell r="DS484">
            <v>36</v>
          </cell>
          <cell r="DT484">
            <v>60</v>
          </cell>
          <cell r="DU484">
            <v>63</v>
          </cell>
          <cell r="DV484">
            <v>74</v>
          </cell>
          <cell r="DW484">
            <v>58</v>
          </cell>
          <cell r="DX484">
            <v>59</v>
          </cell>
          <cell r="DY484">
            <v>40</v>
          </cell>
          <cell r="DZ484">
            <v>29</v>
          </cell>
          <cell r="EA484">
            <v>7</v>
          </cell>
          <cell r="EB484">
            <v>2</v>
          </cell>
          <cell r="EC484">
            <v>1</v>
          </cell>
        </row>
        <row r="485">
          <cell r="B485">
            <v>201</v>
          </cell>
          <cell r="C485">
            <v>15226</v>
          </cell>
          <cell r="D485">
            <v>2</v>
          </cell>
          <cell r="G485" t="str">
            <v>南魚沼市</v>
          </cell>
          <cell r="DF485" t="str">
            <v>-</v>
          </cell>
          <cell r="DI485">
            <v>1151</v>
          </cell>
          <cell r="DJ485">
            <v>1297</v>
          </cell>
          <cell r="DK485">
            <v>1376</v>
          </cell>
          <cell r="DL485">
            <v>1409</v>
          </cell>
          <cell r="DM485">
            <v>1107</v>
          </cell>
          <cell r="DN485">
            <v>1359</v>
          </cell>
          <cell r="DO485">
            <v>1716</v>
          </cell>
          <cell r="DP485">
            <v>1858</v>
          </cell>
          <cell r="DQ485">
            <v>1821</v>
          </cell>
          <cell r="DR485">
            <v>1641</v>
          </cell>
          <cell r="DS485">
            <v>1755</v>
          </cell>
          <cell r="DT485">
            <v>2061</v>
          </cell>
          <cell r="DU485">
            <v>2563</v>
          </cell>
          <cell r="DV485">
            <v>2334</v>
          </cell>
          <cell r="DW485">
            <v>1497</v>
          </cell>
          <cell r="DX485">
            <v>1388</v>
          </cell>
          <cell r="DY485">
            <v>1119</v>
          </cell>
          <cell r="DZ485">
            <v>735</v>
          </cell>
          <cell r="EA485">
            <v>289</v>
          </cell>
          <cell r="EB485">
            <v>56</v>
          </cell>
          <cell r="EC485">
            <v>13</v>
          </cell>
        </row>
        <row r="486">
          <cell r="B486">
            <v>201</v>
          </cell>
          <cell r="C486">
            <v>15226</v>
          </cell>
          <cell r="D486">
            <v>9</v>
          </cell>
          <cell r="G486" t="str">
            <v>　　(旧 462 塩沢町)</v>
          </cell>
          <cell r="DF486" t="str">
            <v>-</v>
          </cell>
          <cell r="DI486">
            <v>331</v>
          </cell>
          <cell r="DJ486">
            <v>408</v>
          </cell>
          <cell r="DK486">
            <v>409</v>
          </cell>
          <cell r="DL486">
            <v>384</v>
          </cell>
          <cell r="DM486">
            <v>294</v>
          </cell>
          <cell r="DN486">
            <v>357</v>
          </cell>
          <cell r="DO486">
            <v>455</v>
          </cell>
          <cell r="DP486">
            <v>558</v>
          </cell>
          <cell r="DQ486">
            <v>573</v>
          </cell>
          <cell r="DR486">
            <v>506</v>
          </cell>
          <cell r="DS486">
            <v>518</v>
          </cell>
          <cell r="DT486">
            <v>666</v>
          </cell>
          <cell r="DU486">
            <v>871</v>
          </cell>
          <cell r="DV486">
            <v>768</v>
          </cell>
          <cell r="DW486">
            <v>485</v>
          </cell>
          <cell r="DX486">
            <v>467</v>
          </cell>
          <cell r="DY486">
            <v>365</v>
          </cell>
          <cell r="DZ486">
            <v>261</v>
          </cell>
          <cell r="EA486">
            <v>91</v>
          </cell>
          <cell r="EB486">
            <v>17</v>
          </cell>
          <cell r="EC486">
            <v>4</v>
          </cell>
        </row>
        <row r="487">
          <cell r="B487">
            <v>201</v>
          </cell>
          <cell r="C487">
            <v>15226</v>
          </cell>
          <cell r="D487">
            <v>9</v>
          </cell>
          <cell r="G487" t="str">
            <v>　　(旧 463 六日町)</v>
          </cell>
          <cell r="DF487" t="str">
            <v>-</v>
          </cell>
          <cell r="DI487">
            <v>530</v>
          </cell>
          <cell r="DJ487">
            <v>583</v>
          </cell>
          <cell r="DK487">
            <v>659</v>
          </cell>
          <cell r="DL487">
            <v>638</v>
          </cell>
          <cell r="DM487">
            <v>439</v>
          </cell>
          <cell r="DN487">
            <v>623</v>
          </cell>
          <cell r="DO487">
            <v>788</v>
          </cell>
          <cell r="DP487">
            <v>833</v>
          </cell>
          <cell r="DQ487">
            <v>854</v>
          </cell>
          <cell r="DR487">
            <v>790</v>
          </cell>
          <cell r="DS487">
            <v>857</v>
          </cell>
          <cell r="DT487">
            <v>926</v>
          </cell>
          <cell r="DU487">
            <v>1089</v>
          </cell>
          <cell r="DV487">
            <v>1034</v>
          </cell>
          <cell r="DW487">
            <v>670</v>
          </cell>
          <cell r="DX487">
            <v>618</v>
          </cell>
          <cell r="DY487">
            <v>516</v>
          </cell>
          <cell r="DZ487">
            <v>300</v>
          </cell>
          <cell r="EA487">
            <v>111</v>
          </cell>
          <cell r="EB487">
            <v>30</v>
          </cell>
          <cell r="EC487">
            <v>7</v>
          </cell>
        </row>
        <row r="488">
          <cell r="B488">
            <v>201</v>
          </cell>
          <cell r="C488">
            <v>15226</v>
          </cell>
          <cell r="D488">
            <v>9</v>
          </cell>
          <cell r="G488" t="str">
            <v>　　(旧 464 大和町)</v>
          </cell>
          <cell r="DF488" t="str">
            <v>-</v>
          </cell>
          <cell r="DI488">
            <v>290</v>
          </cell>
          <cell r="DJ488">
            <v>306</v>
          </cell>
          <cell r="DK488">
            <v>308</v>
          </cell>
          <cell r="DL488">
            <v>387</v>
          </cell>
          <cell r="DM488">
            <v>374</v>
          </cell>
          <cell r="DN488">
            <v>379</v>
          </cell>
          <cell r="DO488">
            <v>473</v>
          </cell>
          <cell r="DP488">
            <v>467</v>
          </cell>
          <cell r="DQ488">
            <v>394</v>
          </cell>
          <cell r="DR488">
            <v>345</v>
          </cell>
          <cell r="DS488">
            <v>380</v>
          </cell>
          <cell r="DT488">
            <v>469</v>
          </cell>
          <cell r="DU488">
            <v>603</v>
          </cell>
          <cell r="DV488">
            <v>532</v>
          </cell>
          <cell r="DW488">
            <v>342</v>
          </cell>
          <cell r="DX488">
            <v>303</v>
          </cell>
          <cell r="DY488">
            <v>238</v>
          </cell>
          <cell r="DZ488">
            <v>174</v>
          </cell>
          <cell r="EA488">
            <v>87</v>
          </cell>
          <cell r="EB488">
            <v>9</v>
          </cell>
          <cell r="EC488">
            <v>2</v>
          </cell>
        </row>
        <row r="489">
          <cell r="B489">
            <v>201</v>
          </cell>
          <cell r="C489">
            <v>15227</v>
          </cell>
          <cell r="D489">
            <v>2</v>
          </cell>
          <cell r="G489" t="str">
            <v>胎内市</v>
          </cell>
          <cell r="DF489">
            <v>45</v>
          </cell>
          <cell r="DI489">
            <v>535</v>
          </cell>
          <cell r="DJ489">
            <v>589</v>
          </cell>
          <cell r="DK489">
            <v>629</v>
          </cell>
          <cell r="DL489">
            <v>739</v>
          </cell>
          <cell r="DM489">
            <v>555</v>
          </cell>
          <cell r="DN489">
            <v>682</v>
          </cell>
          <cell r="DO489">
            <v>754</v>
          </cell>
          <cell r="DP489">
            <v>868</v>
          </cell>
          <cell r="DQ489">
            <v>946</v>
          </cell>
          <cell r="DR489">
            <v>879</v>
          </cell>
          <cell r="DS489">
            <v>901</v>
          </cell>
          <cell r="DT489">
            <v>1057</v>
          </cell>
          <cell r="DU489">
            <v>1265</v>
          </cell>
          <cell r="DV489">
            <v>1348</v>
          </cell>
          <cell r="DW489">
            <v>995</v>
          </cell>
          <cell r="DX489">
            <v>764</v>
          </cell>
          <cell r="DY489">
            <v>611</v>
          </cell>
          <cell r="DZ489">
            <v>339</v>
          </cell>
          <cell r="EA489">
            <v>95</v>
          </cell>
          <cell r="EB489">
            <v>13</v>
          </cell>
          <cell r="EC489">
            <v>2</v>
          </cell>
        </row>
        <row r="490">
          <cell r="B490">
            <v>201</v>
          </cell>
          <cell r="C490">
            <v>15227</v>
          </cell>
          <cell r="D490">
            <v>9</v>
          </cell>
          <cell r="G490" t="str">
            <v>　　(旧 310 中条町)</v>
          </cell>
          <cell r="DF490">
            <v>45</v>
          </cell>
          <cell r="DI490">
            <v>455</v>
          </cell>
          <cell r="DJ490">
            <v>479</v>
          </cell>
          <cell r="DK490">
            <v>527</v>
          </cell>
          <cell r="DL490">
            <v>627</v>
          </cell>
          <cell r="DM490">
            <v>483</v>
          </cell>
          <cell r="DN490">
            <v>575</v>
          </cell>
          <cell r="DO490">
            <v>644</v>
          </cell>
          <cell r="DP490">
            <v>747</v>
          </cell>
          <cell r="DQ490">
            <v>802</v>
          </cell>
          <cell r="DR490">
            <v>747</v>
          </cell>
          <cell r="DS490">
            <v>760</v>
          </cell>
          <cell r="DT490">
            <v>858</v>
          </cell>
          <cell r="DU490">
            <v>985</v>
          </cell>
          <cell r="DV490">
            <v>1087</v>
          </cell>
          <cell r="DW490">
            <v>813</v>
          </cell>
          <cell r="DX490">
            <v>610</v>
          </cell>
          <cell r="DY490">
            <v>487</v>
          </cell>
          <cell r="DZ490">
            <v>278</v>
          </cell>
          <cell r="EA490">
            <v>70</v>
          </cell>
          <cell r="EB490">
            <v>11</v>
          </cell>
          <cell r="EC490">
            <v>2</v>
          </cell>
        </row>
        <row r="491">
          <cell r="B491">
            <v>201</v>
          </cell>
          <cell r="C491">
            <v>15227</v>
          </cell>
          <cell r="D491">
            <v>9</v>
          </cell>
          <cell r="G491" t="str">
            <v>　　(旧 311 黒川村)</v>
          </cell>
          <cell r="DF491" t="str">
            <v>-</v>
          </cell>
          <cell r="DI491">
            <v>80</v>
          </cell>
          <cell r="DJ491">
            <v>110</v>
          </cell>
          <cell r="DK491">
            <v>102</v>
          </cell>
          <cell r="DL491">
            <v>112</v>
          </cell>
          <cell r="DM491">
            <v>72</v>
          </cell>
          <cell r="DN491">
            <v>107</v>
          </cell>
          <cell r="DO491">
            <v>110</v>
          </cell>
          <cell r="DP491">
            <v>121</v>
          </cell>
          <cell r="DQ491">
            <v>144</v>
          </cell>
          <cell r="DR491">
            <v>132</v>
          </cell>
          <cell r="DS491">
            <v>141</v>
          </cell>
          <cell r="DT491">
            <v>199</v>
          </cell>
          <cell r="DU491">
            <v>280</v>
          </cell>
          <cell r="DV491">
            <v>261</v>
          </cell>
          <cell r="DW491">
            <v>182</v>
          </cell>
          <cell r="DX491">
            <v>154</v>
          </cell>
          <cell r="DY491">
            <v>124</v>
          </cell>
          <cell r="DZ491">
            <v>61</v>
          </cell>
          <cell r="EA491">
            <v>25</v>
          </cell>
          <cell r="EB491">
            <v>2</v>
          </cell>
          <cell r="EC491" t="str">
            <v>-</v>
          </cell>
        </row>
        <row r="492">
          <cell r="B492">
            <v>201</v>
          </cell>
          <cell r="C492">
            <v>15300</v>
          </cell>
          <cell r="D492" t="str">
            <v>c</v>
          </cell>
          <cell r="G492" t="str">
            <v>北蒲原郡</v>
          </cell>
          <cell r="DF492">
            <v>39</v>
          </cell>
          <cell r="DI492">
            <v>379</v>
          </cell>
          <cell r="DJ492">
            <v>355</v>
          </cell>
          <cell r="DK492">
            <v>369</v>
          </cell>
          <cell r="DL492">
            <v>543</v>
          </cell>
          <cell r="DM492">
            <v>387</v>
          </cell>
          <cell r="DN492">
            <v>368</v>
          </cell>
          <cell r="DO492">
            <v>459</v>
          </cell>
          <cell r="DP492">
            <v>487</v>
          </cell>
          <cell r="DQ492">
            <v>445</v>
          </cell>
          <cell r="DR492">
            <v>482</v>
          </cell>
          <cell r="DS492">
            <v>422</v>
          </cell>
          <cell r="DT492">
            <v>434</v>
          </cell>
          <cell r="DU492">
            <v>488</v>
          </cell>
          <cell r="DV492">
            <v>480</v>
          </cell>
          <cell r="DW492">
            <v>311</v>
          </cell>
          <cell r="DX492">
            <v>238</v>
          </cell>
          <cell r="DY492">
            <v>177</v>
          </cell>
          <cell r="DZ492">
            <v>115</v>
          </cell>
          <cell r="EA492">
            <v>31</v>
          </cell>
          <cell r="EB492">
            <v>8</v>
          </cell>
          <cell r="EC492">
            <v>1</v>
          </cell>
        </row>
        <row r="493">
          <cell r="B493">
            <v>201</v>
          </cell>
          <cell r="C493">
            <v>15307</v>
          </cell>
          <cell r="D493">
            <v>3</v>
          </cell>
          <cell r="G493" t="str">
            <v>聖籠町</v>
          </cell>
          <cell r="DF493">
            <v>39</v>
          </cell>
          <cell r="DI493">
            <v>379</v>
          </cell>
          <cell r="DJ493">
            <v>355</v>
          </cell>
          <cell r="DK493">
            <v>369</v>
          </cell>
          <cell r="DL493">
            <v>543</v>
          </cell>
          <cell r="DM493">
            <v>387</v>
          </cell>
          <cell r="DN493">
            <v>368</v>
          </cell>
          <cell r="DO493">
            <v>459</v>
          </cell>
          <cell r="DP493">
            <v>487</v>
          </cell>
          <cell r="DQ493">
            <v>445</v>
          </cell>
          <cell r="DR493">
            <v>482</v>
          </cell>
          <cell r="DS493">
            <v>422</v>
          </cell>
          <cell r="DT493">
            <v>434</v>
          </cell>
          <cell r="DU493">
            <v>488</v>
          </cell>
          <cell r="DV493">
            <v>480</v>
          </cell>
          <cell r="DW493">
            <v>311</v>
          </cell>
          <cell r="DX493">
            <v>238</v>
          </cell>
          <cell r="DY493">
            <v>177</v>
          </cell>
          <cell r="DZ493">
            <v>115</v>
          </cell>
          <cell r="EA493">
            <v>31</v>
          </cell>
          <cell r="EB493">
            <v>8</v>
          </cell>
          <cell r="EC493">
            <v>1</v>
          </cell>
        </row>
        <row r="494">
          <cell r="B494">
            <v>201</v>
          </cell>
          <cell r="C494">
            <v>15340</v>
          </cell>
          <cell r="D494" t="str">
            <v>c</v>
          </cell>
          <cell r="G494" t="str">
            <v>西蒲原郡</v>
          </cell>
          <cell r="DF494">
            <v>1</v>
          </cell>
          <cell r="DI494">
            <v>158</v>
          </cell>
          <cell r="DJ494">
            <v>201</v>
          </cell>
          <cell r="DK494">
            <v>188</v>
          </cell>
          <cell r="DL494">
            <v>180</v>
          </cell>
          <cell r="DM494">
            <v>158</v>
          </cell>
          <cell r="DN494">
            <v>157</v>
          </cell>
          <cell r="DO494">
            <v>222</v>
          </cell>
          <cell r="DP494">
            <v>285</v>
          </cell>
          <cell r="DQ494">
            <v>306</v>
          </cell>
          <cell r="DR494">
            <v>282</v>
          </cell>
          <cell r="DS494">
            <v>250</v>
          </cell>
          <cell r="DT494">
            <v>261</v>
          </cell>
          <cell r="DU494">
            <v>333</v>
          </cell>
          <cell r="DV494">
            <v>352</v>
          </cell>
          <cell r="DW494">
            <v>204</v>
          </cell>
          <cell r="DX494">
            <v>193</v>
          </cell>
          <cell r="DY494">
            <v>127</v>
          </cell>
          <cell r="DZ494">
            <v>73</v>
          </cell>
          <cell r="EA494">
            <v>15</v>
          </cell>
          <cell r="EB494">
            <v>3</v>
          </cell>
          <cell r="EC494">
            <v>2</v>
          </cell>
        </row>
        <row r="495">
          <cell r="B495">
            <v>201</v>
          </cell>
          <cell r="C495">
            <v>15342</v>
          </cell>
          <cell r="D495">
            <v>3</v>
          </cell>
          <cell r="G495" t="str">
            <v>弥彦村</v>
          </cell>
          <cell r="DF495">
            <v>1</v>
          </cell>
          <cell r="DI495">
            <v>158</v>
          </cell>
          <cell r="DJ495">
            <v>201</v>
          </cell>
          <cell r="DK495">
            <v>188</v>
          </cell>
          <cell r="DL495">
            <v>180</v>
          </cell>
          <cell r="DM495">
            <v>158</v>
          </cell>
          <cell r="DN495">
            <v>157</v>
          </cell>
          <cell r="DO495">
            <v>222</v>
          </cell>
          <cell r="DP495">
            <v>285</v>
          </cell>
          <cell r="DQ495">
            <v>306</v>
          </cell>
          <cell r="DR495">
            <v>282</v>
          </cell>
          <cell r="DS495">
            <v>250</v>
          </cell>
          <cell r="DT495">
            <v>261</v>
          </cell>
          <cell r="DU495">
            <v>333</v>
          </cell>
          <cell r="DV495">
            <v>352</v>
          </cell>
          <cell r="DW495">
            <v>204</v>
          </cell>
          <cell r="DX495">
            <v>193</v>
          </cell>
          <cell r="DY495">
            <v>127</v>
          </cell>
          <cell r="DZ495">
            <v>73</v>
          </cell>
          <cell r="EA495">
            <v>15</v>
          </cell>
          <cell r="EB495">
            <v>3</v>
          </cell>
          <cell r="EC495">
            <v>2</v>
          </cell>
        </row>
        <row r="496">
          <cell r="B496">
            <v>201</v>
          </cell>
          <cell r="C496">
            <v>15360</v>
          </cell>
          <cell r="D496" t="str">
            <v>c</v>
          </cell>
          <cell r="G496" t="str">
            <v>南蒲原郡</v>
          </cell>
          <cell r="DF496" t="str">
            <v>-</v>
          </cell>
          <cell r="DI496">
            <v>179</v>
          </cell>
          <cell r="DJ496">
            <v>225</v>
          </cell>
          <cell r="DK496">
            <v>259</v>
          </cell>
          <cell r="DL496">
            <v>301</v>
          </cell>
          <cell r="DM496">
            <v>291</v>
          </cell>
          <cell r="DN496">
            <v>238</v>
          </cell>
          <cell r="DO496">
            <v>276</v>
          </cell>
          <cell r="DP496">
            <v>355</v>
          </cell>
          <cell r="DQ496">
            <v>428</v>
          </cell>
          <cell r="DR496">
            <v>370</v>
          </cell>
          <cell r="DS496">
            <v>338</v>
          </cell>
          <cell r="DT496">
            <v>420</v>
          </cell>
          <cell r="DU496">
            <v>529</v>
          </cell>
          <cell r="DV496">
            <v>565</v>
          </cell>
          <cell r="DW496">
            <v>397</v>
          </cell>
          <cell r="DX496">
            <v>303</v>
          </cell>
          <cell r="DY496">
            <v>207</v>
          </cell>
          <cell r="DZ496">
            <v>122</v>
          </cell>
          <cell r="EA496">
            <v>61</v>
          </cell>
          <cell r="EB496">
            <v>10</v>
          </cell>
          <cell r="EC496">
            <v>3</v>
          </cell>
        </row>
        <row r="497">
          <cell r="B497">
            <v>201</v>
          </cell>
          <cell r="C497">
            <v>15361</v>
          </cell>
          <cell r="D497">
            <v>3</v>
          </cell>
          <cell r="G497" t="str">
            <v>田上町</v>
          </cell>
          <cell r="DF497" t="str">
            <v>-</v>
          </cell>
          <cell r="DI497">
            <v>179</v>
          </cell>
          <cell r="DJ497">
            <v>225</v>
          </cell>
          <cell r="DK497">
            <v>259</v>
          </cell>
          <cell r="DL497">
            <v>301</v>
          </cell>
          <cell r="DM497">
            <v>291</v>
          </cell>
          <cell r="DN497">
            <v>238</v>
          </cell>
          <cell r="DO497">
            <v>276</v>
          </cell>
          <cell r="DP497">
            <v>355</v>
          </cell>
          <cell r="DQ497">
            <v>428</v>
          </cell>
          <cell r="DR497">
            <v>370</v>
          </cell>
          <cell r="DS497">
            <v>338</v>
          </cell>
          <cell r="DT497">
            <v>420</v>
          </cell>
          <cell r="DU497">
            <v>529</v>
          </cell>
          <cell r="DV497">
            <v>565</v>
          </cell>
          <cell r="DW497">
            <v>397</v>
          </cell>
          <cell r="DX497">
            <v>303</v>
          </cell>
          <cell r="DY497">
            <v>207</v>
          </cell>
          <cell r="DZ497">
            <v>122</v>
          </cell>
          <cell r="EA497">
            <v>61</v>
          </cell>
          <cell r="EB497">
            <v>10</v>
          </cell>
          <cell r="EC497">
            <v>3</v>
          </cell>
        </row>
        <row r="498">
          <cell r="B498">
            <v>201</v>
          </cell>
          <cell r="C498">
            <v>15380</v>
          </cell>
          <cell r="D498" t="str">
            <v>c</v>
          </cell>
          <cell r="G498" t="str">
            <v>東蒲原郡</v>
          </cell>
          <cell r="DF498">
            <v>3</v>
          </cell>
          <cell r="DI498">
            <v>115</v>
          </cell>
          <cell r="DJ498">
            <v>171</v>
          </cell>
          <cell r="DK498">
            <v>233</v>
          </cell>
          <cell r="DL498">
            <v>217</v>
          </cell>
          <cell r="DM498">
            <v>134</v>
          </cell>
          <cell r="DN498">
            <v>193</v>
          </cell>
          <cell r="DO498">
            <v>179</v>
          </cell>
          <cell r="DP498">
            <v>215</v>
          </cell>
          <cell r="DQ498">
            <v>281</v>
          </cell>
          <cell r="DR498">
            <v>295</v>
          </cell>
          <cell r="DS498">
            <v>400</v>
          </cell>
          <cell r="DT498">
            <v>439</v>
          </cell>
          <cell r="DU498">
            <v>531</v>
          </cell>
          <cell r="DV498">
            <v>563</v>
          </cell>
          <cell r="DW498">
            <v>396</v>
          </cell>
          <cell r="DX498">
            <v>496</v>
          </cell>
          <cell r="DY498">
            <v>389</v>
          </cell>
          <cell r="DZ498">
            <v>242</v>
          </cell>
          <cell r="EA498">
            <v>83</v>
          </cell>
          <cell r="EB498">
            <v>23</v>
          </cell>
          <cell r="EC498" t="str">
            <v>-</v>
          </cell>
        </row>
        <row r="499">
          <cell r="B499">
            <v>201</v>
          </cell>
          <cell r="C499">
            <v>15385</v>
          </cell>
          <cell r="D499">
            <v>3</v>
          </cell>
          <cell r="G499" t="str">
            <v>阿賀町</v>
          </cell>
          <cell r="DF499">
            <v>3</v>
          </cell>
          <cell r="DI499">
            <v>115</v>
          </cell>
          <cell r="DJ499">
            <v>171</v>
          </cell>
          <cell r="DK499">
            <v>233</v>
          </cell>
          <cell r="DL499">
            <v>217</v>
          </cell>
          <cell r="DM499">
            <v>134</v>
          </cell>
          <cell r="DN499">
            <v>193</v>
          </cell>
          <cell r="DO499">
            <v>179</v>
          </cell>
          <cell r="DP499">
            <v>215</v>
          </cell>
          <cell r="DQ499">
            <v>281</v>
          </cell>
          <cell r="DR499">
            <v>295</v>
          </cell>
          <cell r="DS499">
            <v>400</v>
          </cell>
          <cell r="DT499">
            <v>439</v>
          </cell>
          <cell r="DU499">
            <v>531</v>
          </cell>
          <cell r="DV499">
            <v>563</v>
          </cell>
          <cell r="DW499">
            <v>396</v>
          </cell>
          <cell r="DX499">
            <v>496</v>
          </cell>
          <cell r="DY499">
            <v>389</v>
          </cell>
          <cell r="DZ499">
            <v>242</v>
          </cell>
          <cell r="EA499">
            <v>83</v>
          </cell>
          <cell r="EB499">
            <v>23</v>
          </cell>
          <cell r="EC499" t="str">
            <v>-</v>
          </cell>
        </row>
        <row r="500">
          <cell r="B500">
            <v>201</v>
          </cell>
          <cell r="C500">
            <v>15385</v>
          </cell>
          <cell r="D500">
            <v>9</v>
          </cell>
          <cell r="G500" t="str">
            <v>　　(旧 381 津川町)</v>
          </cell>
          <cell r="DF500">
            <v>3</v>
          </cell>
          <cell r="DI500">
            <v>35</v>
          </cell>
          <cell r="DJ500">
            <v>52</v>
          </cell>
          <cell r="DK500">
            <v>101</v>
          </cell>
          <cell r="DL500">
            <v>81</v>
          </cell>
          <cell r="DM500">
            <v>52</v>
          </cell>
          <cell r="DN500">
            <v>63</v>
          </cell>
          <cell r="DO500">
            <v>65</v>
          </cell>
          <cell r="DP500">
            <v>79</v>
          </cell>
          <cell r="DQ500">
            <v>101</v>
          </cell>
          <cell r="DR500">
            <v>115</v>
          </cell>
          <cell r="DS500">
            <v>128</v>
          </cell>
          <cell r="DT500">
            <v>156</v>
          </cell>
          <cell r="DU500">
            <v>169</v>
          </cell>
          <cell r="DV500">
            <v>182</v>
          </cell>
          <cell r="DW500">
            <v>146</v>
          </cell>
          <cell r="DX500">
            <v>166</v>
          </cell>
          <cell r="DY500">
            <v>125</v>
          </cell>
          <cell r="DZ500">
            <v>68</v>
          </cell>
          <cell r="EA500">
            <v>24</v>
          </cell>
          <cell r="EB500">
            <v>10</v>
          </cell>
          <cell r="EC500" t="str">
            <v>-</v>
          </cell>
        </row>
        <row r="501">
          <cell r="B501">
            <v>201</v>
          </cell>
          <cell r="C501">
            <v>15385</v>
          </cell>
          <cell r="D501">
            <v>9</v>
          </cell>
          <cell r="G501" t="str">
            <v>　　(旧 382 鹿瀬町)</v>
          </cell>
          <cell r="DF501" t="str">
            <v>-</v>
          </cell>
          <cell r="DI501">
            <v>15</v>
          </cell>
          <cell r="DJ501">
            <v>27</v>
          </cell>
          <cell r="DK501">
            <v>31</v>
          </cell>
          <cell r="DL501">
            <v>25</v>
          </cell>
          <cell r="DM501">
            <v>11</v>
          </cell>
          <cell r="DN501">
            <v>20</v>
          </cell>
          <cell r="DO501">
            <v>23</v>
          </cell>
          <cell r="DP501">
            <v>29</v>
          </cell>
          <cell r="DQ501">
            <v>42</v>
          </cell>
          <cell r="DR501">
            <v>53</v>
          </cell>
          <cell r="DS501">
            <v>50</v>
          </cell>
          <cell r="DT501">
            <v>49</v>
          </cell>
          <cell r="DU501">
            <v>87</v>
          </cell>
          <cell r="DV501">
            <v>105</v>
          </cell>
          <cell r="DW501">
            <v>85</v>
          </cell>
          <cell r="DX501">
            <v>105</v>
          </cell>
          <cell r="DY501">
            <v>86</v>
          </cell>
          <cell r="DZ501">
            <v>43</v>
          </cell>
          <cell r="EA501">
            <v>22</v>
          </cell>
          <cell r="EB501">
            <v>5</v>
          </cell>
          <cell r="EC501" t="str">
            <v>-</v>
          </cell>
        </row>
        <row r="502">
          <cell r="B502">
            <v>201</v>
          </cell>
          <cell r="C502">
            <v>15385</v>
          </cell>
          <cell r="D502">
            <v>9</v>
          </cell>
          <cell r="G502" t="str">
            <v>　　(旧 383 上川村)</v>
          </cell>
          <cell r="DF502" t="str">
            <v>-</v>
          </cell>
          <cell r="DI502">
            <v>28</v>
          </cell>
          <cell r="DJ502">
            <v>41</v>
          </cell>
          <cell r="DK502">
            <v>47</v>
          </cell>
          <cell r="DL502">
            <v>42</v>
          </cell>
          <cell r="DM502">
            <v>40</v>
          </cell>
          <cell r="DN502">
            <v>37</v>
          </cell>
          <cell r="DO502">
            <v>41</v>
          </cell>
          <cell r="DP502">
            <v>45</v>
          </cell>
          <cell r="DQ502">
            <v>57</v>
          </cell>
          <cell r="DR502">
            <v>60</v>
          </cell>
          <cell r="DS502">
            <v>99</v>
          </cell>
          <cell r="DT502">
            <v>111</v>
          </cell>
          <cell r="DU502">
            <v>124</v>
          </cell>
          <cell r="DV502">
            <v>121</v>
          </cell>
          <cell r="DW502">
            <v>75</v>
          </cell>
          <cell r="DX502">
            <v>94</v>
          </cell>
          <cell r="DY502">
            <v>79</v>
          </cell>
          <cell r="DZ502">
            <v>51</v>
          </cell>
          <cell r="EA502">
            <v>14</v>
          </cell>
          <cell r="EB502">
            <v>3</v>
          </cell>
          <cell r="EC502" t="str">
            <v>-</v>
          </cell>
        </row>
        <row r="503">
          <cell r="B503">
            <v>201</v>
          </cell>
          <cell r="C503">
            <v>15385</v>
          </cell>
          <cell r="D503">
            <v>9</v>
          </cell>
          <cell r="G503" t="str">
            <v>　　(旧 384 三川村)</v>
          </cell>
          <cell r="DF503" t="str">
            <v>-</v>
          </cell>
          <cell r="DI503">
            <v>37</v>
          </cell>
          <cell r="DJ503">
            <v>51</v>
          </cell>
          <cell r="DK503">
            <v>54</v>
          </cell>
          <cell r="DL503">
            <v>69</v>
          </cell>
          <cell r="DM503">
            <v>31</v>
          </cell>
          <cell r="DN503">
            <v>73</v>
          </cell>
          <cell r="DO503">
            <v>50</v>
          </cell>
          <cell r="DP503">
            <v>62</v>
          </cell>
          <cell r="DQ503">
            <v>81</v>
          </cell>
          <cell r="DR503">
            <v>67</v>
          </cell>
          <cell r="DS503">
            <v>123</v>
          </cell>
          <cell r="DT503">
            <v>123</v>
          </cell>
          <cell r="DU503">
            <v>151</v>
          </cell>
          <cell r="DV503">
            <v>155</v>
          </cell>
          <cell r="DW503">
            <v>90</v>
          </cell>
          <cell r="DX503">
            <v>131</v>
          </cell>
          <cell r="DY503">
            <v>99</v>
          </cell>
          <cell r="DZ503">
            <v>80</v>
          </cell>
          <cell r="EA503">
            <v>23</v>
          </cell>
          <cell r="EB503">
            <v>5</v>
          </cell>
          <cell r="EC503" t="str">
            <v>-</v>
          </cell>
        </row>
        <row r="504">
          <cell r="B504">
            <v>201</v>
          </cell>
          <cell r="C504">
            <v>15400</v>
          </cell>
          <cell r="D504" t="str">
            <v>c</v>
          </cell>
          <cell r="G504" t="str">
            <v>三島郡</v>
          </cell>
          <cell r="DF504" t="str">
            <v>-</v>
          </cell>
          <cell r="DI504">
            <v>48</v>
          </cell>
          <cell r="DJ504">
            <v>74</v>
          </cell>
          <cell r="DK504">
            <v>83</v>
          </cell>
          <cell r="DL504">
            <v>76</v>
          </cell>
          <cell r="DM504">
            <v>60</v>
          </cell>
          <cell r="DN504">
            <v>115</v>
          </cell>
          <cell r="DO504">
            <v>95</v>
          </cell>
          <cell r="DP504">
            <v>120</v>
          </cell>
          <cell r="DQ504">
            <v>112</v>
          </cell>
          <cell r="DR504">
            <v>116</v>
          </cell>
          <cell r="DS504">
            <v>139</v>
          </cell>
          <cell r="DT504">
            <v>178</v>
          </cell>
          <cell r="DU504">
            <v>184</v>
          </cell>
          <cell r="DV504">
            <v>233</v>
          </cell>
          <cell r="DW504">
            <v>147</v>
          </cell>
          <cell r="DX504">
            <v>118</v>
          </cell>
          <cell r="DY504">
            <v>125</v>
          </cell>
          <cell r="DZ504">
            <v>95</v>
          </cell>
          <cell r="EA504">
            <v>32</v>
          </cell>
          <cell r="EB504">
            <v>5</v>
          </cell>
          <cell r="EC504">
            <v>1</v>
          </cell>
        </row>
        <row r="505">
          <cell r="B505">
            <v>201</v>
          </cell>
          <cell r="C505">
            <v>15405</v>
          </cell>
          <cell r="D505">
            <v>3</v>
          </cell>
          <cell r="G505" t="str">
            <v>出雲崎町</v>
          </cell>
          <cell r="DF505" t="str">
            <v>-</v>
          </cell>
          <cell r="DI505">
            <v>48</v>
          </cell>
          <cell r="DJ505">
            <v>74</v>
          </cell>
          <cell r="DK505">
            <v>83</v>
          </cell>
          <cell r="DL505">
            <v>76</v>
          </cell>
          <cell r="DM505">
            <v>60</v>
          </cell>
          <cell r="DN505">
            <v>115</v>
          </cell>
          <cell r="DO505">
            <v>95</v>
          </cell>
          <cell r="DP505">
            <v>120</v>
          </cell>
          <cell r="DQ505">
            <v>112</v>
          </cell>
          <cell r="DR505">
            <v>116</v>
          </cell>
          <cell r="DS505">
            <v>139</v>
          </cell>
          <cell r="DT505">
            <v>178</v>
          </cell>
          <cell r="DU505">
            <v>184</v>
          </cell>
          <cell r="DV505">
            <v>233</v>
          </cell>
          <cell r="DW505">
            <v>147</v>
          </cell>
          <cell r="DX505">
            <v>118</v>
          </cell>
          <cell r="DY505">
            <v>125</v>
          </cell>
          <cell r="DZ505">
            <v>95</v>
          </cell>
          <cell r="EA505">
            <v>32</v>
          </cell>
          <cell r="EB505">
            <v>5</v>
          </cell>
          <cell r="EC505">
            <v>1</v>
          </cell>
        </row>
        <row r="506">
          <cell r="B506">
            <v>201</v>
          </cell>
          <cell r="C506">
            <v>15460</v>
          </cell>
          <cell r="D506" t="str">
            <v>c</v>
          </cell>
          <cell r="G506" t="str">
            <v>南魚沼郡</v>
          </cell>
          <cell r="DF506" t="str">
            <v>-</v>
          </cell>
          <cell r="DI506">
            <v>112</v>
          </cell>
          <cell r="DJ506">
            <v>127</v>
          </cell>
          <cell r="DK506">
            <v>144</v>
          </cell>
          <cell r="DL506">
            <v>186</v>
          </cell>
          <cell r="DM506">
            <v>144</v>
          </cell>
          <cell r="DN506">
            <v>160</v>
          </cell>
          <cell r="DO506">
            <v>181</v>
          </cell>
          <cell r="DP506">
            <v>219</v>
          </cell>
          <cell r="DQ506">
            <v>302</v>
          </cell>
          <cell r="DR506">
            <v>269</v>
          </cell>
          <cell r="DS506">
            <v>278</v>
          </cell>
          <cell r="DT506">
            <v>316</v>
          </cell>
          <cell r="DU506">
            <v>388</v>
          </cell>
          <cell r="DV506">
            <v>390</v>
          </cell>
          <cell r="DW506">
            <v>274</v>
          </cell>
          <cell r="DX506">
            <v>230</v>
          </cell>
          <cell r="DY506">
            <v>168</v>
          </cell>
          <cell r="DZ506">
            <v>133</v>
          </cell>
          <cell r="EA506">
            <v>24</v>
          </cell>
          <cell r="EB506">
            <v>5</v>
          </cell>
          <cell r="EC506" t="str">
            <v>-</v>
          </cell>
        </row>
        <row r="507">
          <cell r="B507">
            <v>201</v>
          </cell>
          <cell r="C507">
            <v>15461</v>
          </cell>
          <cell r="D507">
            <v>3</v>
          </cell>
          <cell r="G507" t="str">
            <v>湯沢町</v>
          </cell>
          <cell r="DF507" t="str">
            <v>-</v>
          </cell>
          <cell r="DI507">
            <v>112</v>
          </cell>
          <cell r="DJ507">
            <v>127</v>
          </cell>
          <cell r="DK507">
            <v>144</v>
          </cell>
          <cell r="DL507">
            <v>186</v>
          </cell>
          <cell r="DM507">
            <v>144</v>
          </cell>
          <cell r="DN507">
            <v>160</v>
          </cell>
          <cell r="DO507">
            <v>181</v>
          </cell>
          <cell r="DP507">
            <v>219</v>
          </cell>
          <cell r="DQ507">
            <v>302</v>
          </cell>
          <cell r="DR507">
            <v>269</v>
          </cell>
          <cell r="DS507">
            <v>278</v>
          </cell>
          <cell r="DT507">
            <v>316</v>
          </cell>
          <cell r="DU507">
            <v>388</v>
          </cell>
          <cell r="DV507">
            <v>390</v>
          </cell>
          <cell r="DW507">
            <v>274</v>
          </cell>
          <cell r="DX507">
            <v>230</v>
          </cell>
          <cell r="DY507">
            <v>168</v>
          </cell>
          <cell r="DZ507">
            <v>133</v>
          </cell>
          <cell r="EA507">
            <v>24</v>
          </cell>
          <cell r="EB507">
            <v>5</v>
          </cell>
          <cell r="EC507" t="str">
            <v>-</v>
          </cell>
        </row>
        <row r="508">
          <cell r="B508">
            <v>201</v>
          </cell>
          <cell r="C508">
            <v>15480</v>
          </cell>
          <cell r="D508" t="str">
            <v>c</v>
          </cell>
          <cell r="G508" t="str">
            <v>中魚沼郡</v>
          </cell>
          <cell r="DF508" t="str">
            <v>-</v>
          </cell>
          <cell r="DI508">
            <v>145</v>
          </cell>
          <cell r="DJ508">
            <v>155</v>
          </cell>
          <cell r="DK508">
            <v>209</v>
          </cell>
          <cell r="DL508">
            <v>219</v>
          </cell>
          <cell r="DM508">
            <v>136</v>
          </cell>
          <cell r="DN508">
            <v>204</v>
          </cell>
          <cell r="DO508">
            <v>219</v>
          </cell>
          <cell r="DP508">
            <v>215</v>
          </cell>
          <cell r="DQ508">
            <v>263</v>
          </cell>
          <cell r="DR508">
            <v>260</v>
          </cell>
          <cell r="DS508">
            <v>309</v>
          </cell>
          <cell r="DT508">
            <v>411</v>
          </cell>
          <cell r="DU508">
            <v>467</v>
          </cell>
          <cell r="DV508">
            <v>373</v>
          </cell>
          <cell r="DW508">
            <v>309</v>
          </cell>
          <cell r="DX508">
            <v>301</v>
          </cell>
          <cell r="DY508">
            <v>276</v>
          </cell>
          <cell r="DZ508">
            <v>219</v>
          </cell>
          <cell r="EA508">
            <v>102</v>
          </cell>
          <cell r="EB508">
            <v>13</v>
          </cell>
          <cell r="EC508">
            <v>5</v>
          </cell>
        </row>
        <row r="509">
          <cell r="B509">
            <v>201</v>
          </cell>
          <cell r="C509">
            <v>15482</v>
          </cell>
          <cell r="D509">
            <v>3</v>
          </cell>
          <cell r="G509" t="str">
            <v>津南町</v>
          </cell>
          <cell r="DF509" t="str">
            <v>-</v>
          </cell>
          <cell r="DI509">
            <v>145</v>
          </cell>
          <cell r="DJ509">
            <v>155</v>
          </cell>
          <cell r="DK509">
            <v>209</v>
          </cell>
          <cell r="DL509">
            <v>219</v>
          </cell>
          <cell r="DM509">
            <v>136</v>
          </cell>
          <cell r="DN509">
            <v>204</v>
          </cell>
          <cell r="DO509">
            <v>219</v>
          </cell>
          <cell r="DP509">
            <v>215</v>
          </cell>
          <cell r="DQ509">
            <v>263</v>
          </cell>
          <cell r="DR509">
            <v>260</v>
          </cell>
          <cell r="DS509">
            <v>309</v>
          </cell>
          <cell r="DT509">
            <v>411</v>
          </cell>
          <cell r="DU509">
            <v>467</v>
          </cell>
          <cell r="DV509">
            <v>373</v>
          </cell>
          <cell r="DW509">
            <v>309</v>
          </cell>
          <cell r="DX509">
            <v>301</v>
          </cell>
          <cell r="DY509">
            <v>276</v>
          </cell>
          <cell r="DZ509">
            <v>219</v>
          </cell>
          <cell r="EA509">
            <v>102</v>
          </cell>
          <cell r="EB509">
            <v>13</v>
          </cell>
          <cell r="EC509">
            <v>5</v>
          </cell>
        </row>
        <row r="510">
          <cell r="B510">
            <v>201</v>
          </cell>
          <cell r="C510">
            <v>15500</v>
          </cell>
          <cell r="D510" t="str">
            <v>c</v>
          </cell>
          <cell r="G510" t="str">
            <v>刈羽郡</v>
          </cell>
          <cell r="DF510">
            <v>26</v>
          </cell>
          <cell r="DI510">
            <v>109</v>
          </cell>
          <cell r="DJ510">
            <v>103</v>
          </cell>
          <cell r="DK510">
            <v>110</v>
          </cell>
          <cell r="DL510">
            <v>107</v>
          </cell>
          <cell r="DM510">
            <v>92</v>
          </cell>
          <cell r="DN510">
            <v>141</v>
          </cell>
          <cell r="DO510">
            <v>152</v>
          </cell>
          <cell r="DP510">
            <v>158</v>
          </cell>
          <cell r="DQ510">
            <v>164</v>
          </cell>
          <cell r="DR510">
            <v>139</v>
          </cell>
          <cell r="DS510">
            <v>156</v>
          </cell>
          <cell r="DT510">
            <v>183</v>
          </cell>
          <cell r="DU510">
            <v>208</v>
          </cell>
          <cell r="DV510">
            <v>217</v>
          </cell>
          <cell r="DW510">
            <v>118</v>
          </cell>
          <cell r="DX510">
            <v>118</v>
          </cell>
          <cell r="DY510">
            <v>101</v>
          </cell>
          <cell r="DZ510">
            <v>48</v>
          </cell>
          <cell r="EA510">
            <v>21</v>
          </cell>
          <cell r="EB510">
            <v>4</v>
          </cell>
          <cell r="EC510">
            <v>1</v>
          </cell>
        </row>
        <row r="511">
          <cell r="B511">
            <v>201</v>
          </cell>
          <cell r="C511">
            <v>15504</v>
          </cell>
          <cell r="D511">
            <v>3</v>
          </cell>
          <cell r="G511" t="str">
            <v>刈羽村</v>
          </cell>
          <cell r="DF511">
            <v>26</v>
          </cell>
          <cell r="DI511">
            <v>109</v>
          </cell>
          <cell r="DJ511">
            <v>103</v>
          </cell>
          <cell r="DK511">
            <v>110</v>
          </cell>
          <cell r="DL511">
            <v>107</v>
          </cell>
          <cell r="DM511">
            <v>92</v>
          </cell>
          <cell r="DN511">
            <v>141</v>
          </cell>
          <cell r="DO511">
            <v>152</v>
          </cell>
          <cell r="DP511">
            <v>158</v>
          </cell>
          <cell r="DQ511">
            <v>164</v>
          </cell>
          <cell r="DR511">
            <v>139</v>
          </cell>
          <cell r="DS511">
            <v>156</v>
          </cell>
          <cell r="DT511">
            <v>183</v>
          </cell>
          <cell r="DU511">
            <v>208</v>
          </cell>
          <cell r="DV511">
            <v>217</v>
          </cell>
          <cell r="DW511">
            <v>118</v>
          </cell>
          <cell r="DX511">
            <v>118</v>
          </cell>
          <cell r="DY511">
            <v>101</v>
          </cell>
          <cell r="DZ511">
            <v>48</v>
          </cell>
          <cell r="EA511">
            <v>21</v>
          </cell>
          <cell r="EB511">
            <v>4</v>
          </cell>
          <cell r="EC511">
            <v>1</v>
          </cell>
        </row>
        <row r="512">
          <cell r="B512">
            <v>201</v>
          </cell>
          <cell r="C512">
            <v>15580</v>
          </cell>
          <cell r="D512" t="str">
            <v>c</v>
          </cell>
          <cell r="G512" t="str">
            <v>岩船郡</v>
          </cell>
          <cell r="DF512" t="str">
            <v>-</v>
          </cell>
          <cell r="DI512">
            <v>89</v>
          </cell>
          <cell r="DJ512">
            <v>108</v>
          </cell>
          <cell r="DK512">
            <v>134</v>
          </cell>
          <cell r="DL512">
            <v>130</v>
          </cell>
          <cell r="DM512">
            <v>104</v>
          </cell>
          <cell r="DN512">
            <v>116</v>
          </cell>
          <cell r="DO512">
            <v>127</v>
          </cell>
          <cell r="DP512">
            <v>132</v>
          </cell>
          <cell r="DQ512">
            <v>154</v>
          </cell>
          <cell r="DR512">
            <v>166</v>
          </cell>
          <cell r="DS512">
            <v>191</v>
          </cell>
          <cell r="DT512">
            <v>244</v>
          </cell>
          <cell r="DU512">
            <v>278</v>
          </cell>
          <cell r="DV512">
            <v>259</v>
          </cell>
          <cell r="DW512">
            <v>192</v>
          </cell>
          <cell r="DX512">
            <v>168</v>
          </cell>
          <cell r="DY512">
            <v>198</v>
          </cell>
          <cell r="DZ512">
            <v>114</v>
          </cell>
          <cell r="EA512">
            <v>30</v>
          </cell>
          <cell r="EB512">
            <v>6</v>
          </cell>
          <cell r="EC512">
            <v>2</v>
          </cell>
        </row>
        <row r="513">
          <cell r="B513">
            <v>201</v>
          </cell>
          <cell r="C513">
            <v>15581</v>
          </cell>
          <cell r="D513">
            <v>3</v>
          </cell>
          <cell r="G513" t="str">
            <v>関川村</v>
          </cell>
          <cell r="DF513" t="str">
            <v>-</v>
          </cell>
          <cell r="DI513">
            <v>88</v>
          </cell>
          <cell r="DJ513">
            <v>103</v>
          </cell>
          <cell r="DK513">
            <v>123</v>
          </cell>
          <cell r="DL513">
            <v>125</v>
          </cell>
          <cell r="DM513">
            <v>98</v>
          </cell>
          <cell r="DN513">
            <v>109</v>
          </cell>
          <cell r="DO513">
            <v>120</v>
          </cell>
          <cell r="DP513">
            <v>124</v>
          </cell>
          <cell r="DQ513">
            <v>143</v>
          </cell>
          <cell r="DR513">
            <v>156</v>
          </cell>
          <cell r="DS513">
            <v>178</v>
          </cell>
          <cell r="DT513">
            <v>230</v>
          </cell>
          <cell r="DU513">
            <v>252</v>
          </cell>
          <cell r="DV513">
            <v>246</v>
          </cell>
          <cell r="DW513">
            <v>178</v>
          </cell>
          <cell r="DX513">
            <v>155</v>
          </cell>
          <cell r="DY513">
            <v>184</v>
          </cell>
          <cell r="DZ513">
            <v>108</v>
          </cell>
          <cell r="EA513">
            <v>30</v>
          </cell>
          <cell r="EB513">
            <v>6</v>
          </cell>
          <cell r="EC513">
            <v>2</v>
          </cell>
        </row>
        <row r="514">
          <cell r="B514">
            <v>201</v>
          </cell>
          <cell r="C514">
            <v>15586</v>
          </cell>
          <cell r="D514">
            <v>3</v>
          </cell>
          <cell r="G514" t="str">
            <v>粟島浦村</v>
          </cell>
          <cell r="DF514" t="str">
            <v>-</v>
          </cell>
          <cell r="DI514">
            <v>1</v>
          </cell>
          <cell r="DJ514">
            <v>5</v>
          </cell>
          <cell r="DK514">
            <v>11</v>
          </cell>
          <cell r="DL514">
            <v>5</v>
          </cell>
          <cell r="DM514">
            <v>6</v>
          </cell>
          <cell r="DN514">
            <v>7</v>
          </cell>
          <cell r="DO514">
            <v>7</v>
          </cell>
          <cell r="DP514">
            <v>8</v>
          </cell>
          <cell r="DQ514">
            <v>11</v>
          </cell>
          <cell r="DR514">
            <v>10</v>
          </cell>
          <cell r="DS514">
            <v>13</v>
          </cell>
          <cell r="DT514">
            <v>14</v>
          </cell>
          <cell r="DU514">
            <v>26</v>
          </cell>
          <cell r="DV514">
            <v>13</v>
          </cell>
          <cell r="DW514">
            <v>14</v>
          </cell>
          <cell r="DX514">
            <v>13</v>
          </cell>
          <cell r="DY514">
            <v>14</v>
          </cell>
          <cell r="DZ514">
            <v>6</v>
          </cell>
          <cell r="EA514" t="str">
            <v>-</v>
          </cell>
          <cell r="EB514" t="str">
            <v>-</v>
          </cell>
          <cell r="EC514" t="str">
            <v>-</v>
          </cell>
        </row>
        <row r="515">
          <cell r="B515">
            <v>201</v>
          </cell>
          <cell r="C515">
            <v>15000</v>
          </cell>
          <cell r="D515" t="str">
            <v>d</v>
          </cell>
          <cell r="G515" t="str">
            <v>新潟県　人口集中地区</v>
          </cell>
          <cell r="DF515">
            <v>4455</v>
          </cell>
          <cell r="DI515">
            <v>22271</v>
          </cell>
          <cell r="DJ515">
            <v>23460</v>
          </cell>
          <cell r="DK515">
            <v>24919</v>
          </cell>
          <cell r="DL515">
            <v>27248</v>
          </cell>
          <cell r="DM515">
            <v>25705</v>
          </cell>
          <cell r="DN515">
            <v>27273</v>
          </cell>
          <cell r="DO515">
            <v>30713</v>
          </cell>
          <cell r="DP515">
            <v>36931</v>
          </cell>
          <cell r="DQ515">
            <v>42186</v>
          </cell>
          <cell r="DR515">
            <v>38067</v>
          </cell>
          <cell r="DS515">
            <v>34552</v>
          </cell>
          <cell r="DT515">
            <v>33212</v>
          </cell>
          <cell r="DU515">
            <v>37175</v>
          </cell>
          <cell r="DV515">
            <v>41305</v>
          </cell>
          <cell r="DW515">
            <v>31633</v>
          </cell>
          <cell r="DX515">
            <v>25855</v>
          </cell>
          <cell r="DY515">
            <v>18899</v>
          </cell>
          <cell r="DZ515">
            <v>10445</v>
          </cell>
          <cell r="EA515">
            <v>3241</v>
          </cell>
          <cell r="EB515">
            <v>664</v>
          </cell>
          <cell r="EC515">
            <v>77</v>
          </cell>
        </row>
        <row r="516">
          <cell r="B516">
            <v>201</v>
          </cell>
          <cell r="C516">
            <v>15100</v>
          </cell>
          <cell r="D516" t="str">
            <v>d</v>
          </cell>
          <cell r="G516" t="str">
            <v>新潟市　人口集中地区</v>
          </cell>
          <cell r="DF516">
            <v>3126</v>
          </cell>
          <cell r="DI516">
            <v>11843</v>
          </cell>
          <cell r="DJ516">
            <v>12411</v>
          </cell>
          <cell r="DK516">
            <v>12777</v>
          </cell>
          <cell r="DL516">
            <v>14671</v>
          </cell>
          <cell r="DM516">
            <v>15253</v>
          </cell>
          <cell r="DN516">
            <v>14472</v>
          </cell>
          <cell r="DO516">
            <v>16553</v>
          </cell>
          <cell r="DP516">
            <v>20014</v>
          </cell>
          <cell r="DQ516">
            <v>22745</v>
          </cell>
          <cell r="DR516">
            <v>20070</v>
          </cell>
          <cell r="DS516">
            <v>17807</v>
          </cell>
          <cell r="DT516">
            <v>16876</v>
          </cell>
          <cell r="DU516">
            <v>19153</v>
          </cell>
          <cell r="DV516">
            <v>21229</v>
          </cell>
          <cell r="DW516">
            <v>15931</v>
          </cell>
          <cell r="DX516">
            <v>12605</v>
          </cell>
          <cell r="DY516">
            <v>8981</v>
          </cell>
          <cell r="DZ516">
            <v>4978</v>
          </cell>
          <cell r="EA516">
            <v>1528</v>
          </cell>
          <cell r="EB516">
            <v>335</v>
          </cell>
          <cell r="EC516">
            <v>38</v>
          </cell>
        </row>
        <row r="517">
          <cell r="B517">
            <v>201</v>
          </cell>
          <cell r="C517">
            <v>15101</v>
          </cell>
          <cell r="D517" t="str">
            <v>d</v>
          </cell>
          <cell r="G517" t="str">
            <v>新潟市 北区　人口集中地区</v>
          </cell>
          <cell r="DF517">
            <v>159</v>
          </cell>
          <cell r="DI517">
            <v>770</v>
          </cell>
          <cell r="DJ517">
            <v>982</v>
          </cell>
          <cell r="DK517">
            <v>1046</v>
          </cell>
          <cell r="DL517">
            <v>1218</v>
          </cell>
          <cell r="DM517">
            <v>951</v>
          </cell>
          <cell r="DN517">
            <v>887</v>
          </cell>
          <cell r="DO517">
            <v>998</v>
          </cell>
          <cell r="DP517">
            <v>1313</v>
          </cell>
          <cell r="DQ517">
            <v>1523</v>
          </cell>
          <cell r="DR517">
            <v>1296</v>
          </cell>
          <cell r="DS517">
            <v>1232</v>
          </cell>
          <cell r="DT517">
            <v>1161</v>
          </cell>
          <cell r="DU517">
            <v>1418</v>
          </cell>
          <cell r="DV517">
            <v>1673</v>
          </cell>
          <cell r="DW517">
            <v>1234</v>
          </cell>
          <cell r="DX517">
            <v>870</v>
          </cell>
          <cell r="DY517">
            <v>536</v>
          </cell>
          <cell r="DZ517">
            <v>257</v>
          </cell>
          <cell r="EA517">
            <v>88</v>
          </cell>
          <cell r="EB517">
            <v>8</v>
          </cell>
          <cell r="EC517">
            <v>3</v>
          </cell>
        </row>
        <row r="518">
          <cell r="B518">
            <v>201</v>
          </cell>
          <cell r="C518">
            <v>15102</v>
          </cell>
          <cell r="D518" t="str">
            <v>d</v>
          </cell>
          <cell r="G518" t="str">
            <v>新潟市 東区　人口集中地区</v>
          </cell>
          <cell r="DF518">
            <v>394</v>
          </cell>
          <cell r="DI518">
            <v>2686</v>
          </cell>
          <cell r="DJ518">
            <v>2707</v>
          </cell>
          <cell r="DK518">
            <v>2866</v>
          </cell>
          <cell r="DL518">
            <v>2900</v>
          </cell>
          <cell r="DM518">
            <v>2519</v>
          </cell>
          <cell r="DN518">
            <v>3237</v>
          </cell>
          <cell r="DO518">
            <v>3823</v>
          </cell>
          <cell r="DP518">
            <v>4432</v>
          </cell>
          <cell r="DQ518">
            <v>5184</v>
          </cell>
          <cell r="DR518">
            <v>4468</v>
          </cell>
          <cell r="DS518">
            <v>3863</v>
          </cell>
          <cell r="DT518">
            <v>3641</v>
          </cell>
          <cell r="DU518">
            <v>4314</v>
          </cell>
          <cell r="DV518">
            <v>4898</v>
          </cell>
          <cell r="DW518">
            <v>3657</v>
          </cell>
          <cell r="DX518">
            <v>2878</v>
          </cell>
          <cell r="DY518">
            <v>1955</v>
          </cell>
          <cell r="DZ518">
            <v>1025</v>
          </cell>
          <cell r="EA518">
            <v>284</v>
          </cell>
          <cell r="EB518">
            <v>65</v>
          </cell>
          <cell r="EC518">
            <v>5</v>
          </cell>
        </row>
        <row r="519">
          <cell r="B519">
            <v>201</v>
          </cell>
          <cell r="C519">
            <v>15103</v>
          </cell>
          <cell r="D519" t="str">
            <v>d</v>
          </cell>
          <cell r="G519" t="str">
            <v>新潟市 中央区　人口集中地区</v>
          </cell>
          <cell r="DF519">
            <v>1719</v>
          </cell>
          <cell r="DI519">
            <v>3613</v>
          </cell>
          <cell r="DJ519">
            <v>3502</v>
          </cell>
          <cell r="DK519">
            <v>3512</v>
          </cell>
          <cell r="DL519">
            <v>4245</v>
          </cell>
          <cell r="DM519">
            <v>4764</v>
          </cell>
          <cell r="DN519">
            <v>4930</v>
          </cell>
          <cell r="DO519">
            <v>5296</v>
          </cell>
          <cell r="DP519">
            <v>6259</v>
          </cell>
          <cell r="DQ519">
            <v>7263</v>
          </cell>
          <cell r="DR519">
            <v>6681</v>
          </cell>
          <cell r="DS519">
            <v>5900</v>
          </cell>
          <cell r="DT519">
            <v>5370</v>
          </cell>
          <cell r="DU519">
            <v>5461</v>
          </cell>
          <cell r="DV519">
            <v>5924</v>
          </cell>
          <cell r="DW519">
            <v>4295</v>
          </cell>
          <cell r="DX519">
            <v>3480</v>
          </cell>
          <cell r="DY519">
            <v>2674</v>
          </cell>
          <cell r="DZ519">
            <v>1484</v>
          </cell>
          <cell r="EA519">
            <v>494</v>
          </cell>
          <cell r="EB519">
            <v>135</v>
          </cell>
          <cell r="EC519">
            <v>16</v>
          </cell>
        </row>
        <row r="520">
          <cell r="B520">
            <v>201</v>
          </cell>
          <cell r="C520">
            <v>15104</v>
          </cell>
          <cell r="D520" t="str">
            <v>d</v>
          </cell>
          <cell r="G520" t="str">
            <v>新潟市 江南区　人口集中地区</v>
          </cell>
          <cell r="DF520">
            <v>64</v>
          </cell>
          <cell r="DI520">
            <v>729</v>
          </cell>
          <cell r="DJ520">
            <v>798</v>
          </cell>
          <cell r="DK520">
            <v>764</v>
          </cell>
          <cell r="DL520">
            <v>633</v>
          </cell>
          <cell r="DM520">
            <v>477</v>
          </cell>
          <cell r="DN520">
            <v>716</v>
          </cell>
          <cell r="DO520">
            <v>903</v>
          </cell>
          <cell r="DP520">
            <v>1176</v>
          </cell>
          <cell r="DQ520">
            <v>1261</v>
          </cell>
          <cell r="DR520">
            <v>1006</v>
          </cell>
          <cell r="DS520">
            <v>821</v>
          </cell>
          <cell r="DT520">
            <v>872</v>
          </cell>
          <cell r="DU520">
            <v>989</v>
          </cell>
          <cell r="DV520">
            <v>1086</v>
          </cell>
          <cell r="DW520">
            <v>855</v>
          </cell>
          <cell r="DX520">
            <v>648</v>
          </cell>
          <cell r="DY520">
            <v>392</v>
          </cell>
          <cell r="DZ520">
            <v>232</v>
          </cell>
          <cell r="EA520">
            <v>61</v>
          </cell>
          <cell r="EB520">
            <v>9</v>
          </cell>
          <cell r="EC520">
            <v>2</v>
          </cell>
        </row>
        <row r="521">
          <cell r="B521">
            <v>201</v>
          </cell>
          <cell r="C521">
            <v>15105</v>
          </cell>
          <cell r="D521" t="str">
            <v>d</v>
          </cell>
          <cell r="G521" t="str">
            <v>新潟市 秋葉区　人口集中地区</v>
          </cell>
          <cell r="DF521">
            <v>97</v>
          </cell>
          <cell r="DI521">
            <v>1056</v>
          </cell>
          <cell r="DJ521">
            <v>1196</v>
          </cell>
          <cell r="DK521">
            <v>1215</v>
          </cell>
          <cell r="DL521">
            <v>1155</v>
          </cell>
          <cell r="DM521">
            <v>900</v>
          </cell>
          <cell r="DN521">
            <v>1087</v>
          </cell>
          <cell r="DO521">
            <v>1358</v>
          </cell>
          <cell r="DP521">
            <v>1766</v>
          </cell>
          <cell r="DQ521">
            <v>1847</v>
          </cell>
          <cell r="DR521">
            <v>1544</v>
          </cell>
          <cell r="DS521">
            <v>1340</v>
          </cell>
          <cell r="DT521">
            <v>1409</v>
          </cell>
          <cell r="DU521">
            <v>1739</v>
          </cell>
          <cell r="DV521">
            <v>1746</v>
          </cell>
          <cell r="DW521">
            <v>1316</v>
          </cell>
          <cell r="DX521">
            <v>1086</v>
          </cell>
          <cell r="DY521">
            <v>753</v>
          </cell>
          <cell r="DZ521">
            <v>472</v>
          </cell>
          <cell r="EA521">
            <v>157</v>
          </cell>
          <cell r="EB521">
            <v>31</v>
          </cell>
          <cell r="EC521">
            <v>6</v>
          </cell>
        </row>
        <row r="522">
          <cell r="B522">
            <v>201</v>
          </cell>
          <cell r="C522">
            <v>15106</v>
          </cell>
          <cell r="D522" t="str">
            <v>d</v>
          </cell>
          <cell r="G522" t="str">
            <v>新潟市 南区　人口集中地区</v>
          </cell>
          <cell r="DF522">
            <v>23</v>
          </cell>
          <cell r="DI522">
            <v>114</v>
          </cell>
          <cell r="DJ522">
            <v>118</v>
          </cell>
          <cell r="DK522">
            <v>151</v>
          </cell>
          <cell r="DL522">
            <v>167</v>
          </cell>
          <cell r="DM522">
            <v>132</v>
          </cell>
          <cell r="DN522">
            <v>166</v>
          </cell>
          <cell r="DO522">
            <v>195</v>
          </cell>
          <cell r="DP522">
            <v>231</v>
          </cell>
          <cell r="DQ522">
            <v>239</v>
          </cell>
          <cell r="DR522">
            <v>301</v>
          </cell>
          <cell r="DS522">
            <v>251</v>
          </cell>
          <cell r="DT522">
            <v>237</v>
          </cell>
          <cell r="DU522">
            <v>287</v>
          </cell>
          <cell r="DV522">
            <v>317</v>
          </cell>
          <cell r="DW522">
            <v>238</v>
          </cell>
          <cell r="DX522">
            <v>237</v>
          </cell>
          <cell r="DY522">
            <v>156</v>
          </cell>
          <cell r="DZ522">
            <v>96</v>
          </cell>
          <cell r="EA522">
            <v>40</v>
          </cell>
          <cell r="EB522">
            <v>11</v>
          </cell>
          <cell r="EC522" t="str">
            <v>-</v>
          </cell>
        </row>
        <row r="523">
          <cell r="B523">
            <v>201</v>
          </cell>
          <cell r="C523">
            <v>15107</v>
          </cell>
          <cell r="D523" t="str">
            <v>d</v>
          </cell>
          <cell r="G523" t="str">
            <v>新潟市 西区　人口集中地区</v>
          </cell>
          <cell r="DF523">
            <v>658</v>
          </cell>
          <cell r="DI523">
            <v>2613</v>
          </cell>
          <cell r="DJ523">
            <v>2787</v>
          </cell>
          <cell r="DK523">
            <v>2905</v>
          </cell>
          <cell r="DL523">
            <v>3985</v>
          </cell>
          <cell r="DM523">
            <v>5208</v>
          </cell>
          <cell r="DN523">
            <v>3072</v>
          </cell>
          <cell r="DO523">
            <v>3554</v>
          </cell>
          <cell r="DP523">
            <v>4335</v>
          </cell>
          <cell r="DQ523">
            <v>4876</v>
          </cell>
          <cell r="DR523">
            <v>4252</v>
          </cell>
          <cell r="DS523">
            <v>3858</v>
          </cell>
          <cell r="DT523">
            <v>3618</v>
          </cell>
          <cell r="DU523">
            <v>4274</v>
          </cell>
          <cell r="DV523">
            <v>4874</v>
          </cell>
          <cell r="DW523">
            <v>3787</v>
          </cell>
          <cell r="DX523">
            <v>2943</v>
          </cell>
          <cell r="DY523">
            <v>2173</v>
          </cell>
          <cell r="DZ523">
            <v>1231</v>
          </cell>
          <cell r="EA523">
            <v>358</v>
          </cell>
          <cell r="EB523">
            <v>62</v>
          </cell>
          <cell r="EC523">
            <v>5</v>
          </cell>
        </row>
        <row r="524">
          <cell r="B524">
            <v>201</v>
          </cell>
          <cell r="C524">
            <v>15108</v>
          </cell>
          <cell r="D524" t="str">
            <v>d</v>
          </cell>
          <cell r="G524" t="str">
            <v>新潟市 西蒲区　人口集中地区</v>
          </cell>
          <cell r="DF524">
            <v>12</v>
          </cell>
          <cell r="DI524">
            <v>262</v>
          </cell>
          <cell r="DJ524">
            <v>321</v>
          </cell>
          <cell r="DK524">
            <v>318</v>
          </cell>
          <cell r="DL524">
            <v>368</v>
          </cell>
          <cell r="DM524">
            <v>302</v>
          </cell>
          <cell r="DN524">
            <v>377</v>
          </cell>
          <cell r="DO524">
            <v>426</v>
          </cell>
          <cell r="DP524">
            <v>502</v>
          </cell>
          <cell r="DQ524">
            <v>552</v>
          </cell>
          <cell r="DR524">
            <v>522</v>
          </cell>
          <cell r="DS524">
            <v>542</v>
          </cell>
          <cell r="DT524">
            <v>568</v>
          </cell>
          <cell r="DU524">
            <v>671</v>
          </cell>
          <cell r="DV524">
            <v>711</v>
          </cell>
          <cell r="DW524">
            <v>549</v>
          </cell>
          <cell r="DX524">
            <v>463</v>
          </cell>
          <cell r="DY524">
            <v>342</v>
          </cell>
          <cell r="DZ524">
            <v>181</v>
          </cell>
          <cell r="EA524">
            <v>46</v>
          </cell>
          <cell r="EB524">
            <v>14</v>
          </cell>
          <cell r="EC524">
            <v>1</v>
          </cell>
        </row>
        <row r="525">
          <cell r="B525">
            <v>201</v>
          </cell>
          <cell r="C525">
            <v>15202</v>
          </cell>
          <cell r="D525" t="str">
            <v>d</v>
          </cell>
          <cell r="G525" t="str">
            <v>長岡市　人口集中地区</v>
          </cell>
          <cell r="DF525">
            <v>415</v>
          </cell>
          <cell r="DI525">
            <v>2736</v>
          </cell>
          <cell r="DJ525">
            <v>2889</v>
          </cell>
          <cell r="DK525">
            <v>2967</v>
          </cell>
          <cell r="DL525">
            <v>3301</v>
          </cell>
          <cell r="DM525">
            <v>2866</v>
          </cell>
          <cell r="DN525">
            <v>3321</v>
          </cell>
          <cell r="DO525">
            <v>3723</v>
          </cell>
          <cell r="DP525">
            <v>4477</v>
          </cell>
          <cell r="DQ525">
            <v>5132</v>
          </cell>
          <cell r="DR525">
            <v>4553</v>
          </cell>
          <cell r="DS525">
            <v>4045</v>
          </cell>
          <cell r="DT525">
            <v>3921</v>
          </cell>
          <cell r="DU525">
            <v>4278</v>
          </cell>
          <cell r="DV525">
            <v>4747</v>
          </cell>
          <cell r="DW525">
            <v>3675</v>
          </cell>
          <cell r="DX525">
            <v>3076</v>
          </cell>
          <cell r="DY525">
            <v>2242</v>
          </cell>
          <cell r="DZ525">
            <v>1308</v>
          </cell>
          <cell r="EA525">
            <v>408</v>
          </cell>
          <cell r="EB525">
            <v>76</v>
          </cell>
          <cell r="EC525">
            <v>12</v>
          </cell>
        </row>
        <row r="526">
          <cell r="B526">
            <v>201</v>
          </cell>
          <cell r="C526">
            <v>15204</v>
          </cell>
          <cell r="D526" t="str">
            <v>d</v>
          </cell>
          <cell r="G526" t="str">
            <v>三条市　人口集中地区</v>
          </cell>
          <cell r="DF526">
            <v>90</v>
          </cell>
          <cell r="DI526">
            <v>952</v>
          </cell>
          <cell r="DJ526">
            <v>997</v>
          </cell>
          <cell r="DK526">
            <v>1156</v>
          </cell>
          <cell r="DL526">
            <v>1181</v>
          </cell>
          <cell r="DM526">
            <v>905</v>
          </cell>
          <cell r="DN526">
            <v>1180</v>
          </cell>
          <cell r="DO526">
            <v>1282</v>
          </cell>
          <cell r="DP526">
            <v>1550</v>
          </cell>
          <cell r="DQ526">
            <v>1801</v>
          </cell>
          <cell r="DR526">
            <v>1692</v>
          </cell>
          <cell r="DS526">
            <v>1618</v>
          </cell>
          <cell r="DT526">
            <v>1593</v>
          </cell>
          <cell r="DU526">
            <v>1715</v>
          </cell>
          <cell r="DV526">
            <v>1944</v>
          </cell>
          <cell r="DW526">
            <v>1479</v>
          </cell>
          <cell r="DX526">
            <v>1350</v>
          </cell>
          <cell r="DY526">
            <v>1066</v>
          </cell>
          <cell r="DZ526">
            <v>480</v>
          </cell>
          <cell r="EA526">
            <v>179</v>
          </cell>
          <cell r="EB526">
            <v>31</v>
          </cell>
          <cell r="EC526">
            <v>2</v>
          </cell>
        </row>
        <row r="527">
          <cell r="B527">
            <v>201</v>
          </cell>
          <cell r="C527">
            <v>15205</v>
          </cell>
          <cell r="D527" t="str">
            <v>d</v>
          </cell>
          <cell r="G527" t="str">
            <v>柏崎市　人口集中地区</v>
          </cell>
          <cell r="DF527">
            <v>173</v>
          </cell>
          <cell r="DI527">
            <v>614</v>
          </cell>
          <cell r="DJ527">
            <v>639</v>
          </cell>
          <cell r="DK527">
            <v>683</v>
          </cell>
          <cell r="DL527">
            <v>667</v>
          </cell>
          <cell r="DM527">
            <v>614</v>
          </cell>
          <cell r="DN527">
            <v>908</v>
          </cell>
          <cell r="DO527">
            <v>939</v>
          </cell>
          <cell r="DP527">
            <v>1023</v>
          </cell>
          <cell r="DQ527">
            <v>1196</v>
          </cell>
          <cell r="DR527">
            <v>1138</v>
          </cell>
          <cell r="DS527">
            <v>1086</v>
          </cell>
          <cell r="DT527">
            <v>1042</v>
          </cell>
          <cell r="DU527">
            <v>1128</v>
          </cell>
          <cell r="DV527">
            <v>1177</v>
          </cell>
          <cell r="DW527">
            <v>861</v>
          </cell>
          <cell r="DX527">
            <v>711</v>
          </cell>
          <cell r="DY527">
            <v>539</v>
          </cell>
          <cell r="DZ527">
            <v>356</v>
          </cell>
          <cell r="EA527">
            <v>123</v>
          </cell>
          <cell r="EB527">
            <v>21</v>
          </cell>
          <cell r="EC527">
            <v>3</v>
          </cell>
        </row>
        <row r="528">
          <cell r="B528">
            <v>201</v>
          </cell>
          <cell r="C528">
            <v>15206</v>
          </cell>
          <cell r="D528" t="str">
            <v>d</v>
          </cell>
          <cell r="G528" t="str">
            <v>新発田市　人口集中地区</v>
          </cell>
          <cell r="DF528">
            <v>107</v>
          </cell>
          <cell r="DI528">
            <v>990</v>
          </cell>
          <cell r="DJ528">
            <v>1036</v>
          </cell>
          <cell r="DK528">
            <v>1169</v>
          </cell>
          <cell r="DL528">
            <v>1208</v>
          </cell>
          <cell r="DM528">
            <v>1149</v>
          </cell>
          <cell r="DN528">
            <v>1287</v>
          </cell>
          <cell r="DO528">
            <v>1354</v>
          </cell>
          <cell r="DP528">
            <v>1600</v>
          </cell>
          <cell r="DQ528">
            <v>1768</v>
          </cell>
          <cell r="DR528">
            <v>1615</v>
          </cell>
          <cell r="DS528">
            <v>1514</v>
          </cell>
          <cell r="DT528">
            <v>1444</v>
          </cell>
          <cell r="DU528">
            <v>1536</v>
          </cell>
          <cell r="DV528">
            <v>1764</v>
          </cell>
          <cell r="DW528">
            <v>1317</v>
          </cell>
          <cell r="DX528">
            <v>1100</v>
          </cell>
          <cell r="DY528">
            <v>808</v>
          </cell>
          <cell r="DZ528">
            <v>464</v>
          </cell>
          <cell r="EA528">
            <v>118</v>
          </cell>
          <cell r="EB528">
            <v>18</v>
          </cell>
          <cell r="EC528">
            <v>3</v>
          </cell>
        </row>
        <row r="529">
          <cell r="B529">
            <v>201</v>
          </cell>
          <cell r="C529">
            <v>15208</v>
          </cell>
          <cell r="D529" t="str">
            <v>d</v>
          </cell>
          <cell r="G529" t="str">
            <v>小千谷市　人口集中地区</v>
          </cell>
          <cell r="DF529">
            <v>9</v>
          </cell>
          <cell r="DI529">
            <v>207</v>
          </cell>
          <cell r="DJ529">
            <v>287</v>
          </cell>
          <cell r="DK529">
            <v>284</v>
          </cell>
          <cell r="DL529">
            <v>292</v>
          </cell>
          <cell r="DM529">
            <v>208</v>
          </cell>
          <cell r="DN529">
            <v>294</v>
          </cell>
          <cell r="DO529">
            <v>317</v>
          </cell>
          <cell r="DP529">
            <v>398</v>
          </cell>
          <cell r="DQ529">
            <v>454</v>
          </cell>
          <cell r="DR529">
            <v>443</v>
          </cell>
          <cell r="DS529">
            <v>340</v>
          </cell>
          <cell r="DT529">
            <v>361</v>
          </cell>
          <cell r="DU529">
            <v>461</v>
          </cell>
          <cell r="DV529">
            <v>532</v>
          </cell>
          <cell r="DW529">
            <v>413</v>
          </cell>
          <cell r="DX529">
            <v>342</v>
          </cell>
          <cell r="DY529">
            <v>276</v>
          </cell>
          <cell r="DZ529">
            <v>144</v>
          </cell>
          <cell r="EA529">
            <v>47</v>
          </cell>
          <cell r="EB529">
            <v>9</v>
          </cell>
          <cell r="EC529">
            <v>1</v>
          </cell>
        </row>
        <row r="530">
          <cell r="B530">
            <v>201</v>
          </cell>
          <cell r="C530">
            <v>15209</v>
          </cell>
          <cell r="D530" t="str">
            <v>d</v>
          </cell>
          <cell r="G530" t="str">
            <v>加茂市　人口集中地区</v>
          </cell>
          <cell r="DF530">
            <v>18</v>
          </cell>
          <cell r="DI530">
            <v>283</v>
          </cell>
          <cell r="DJ530">
            <v>267</v>
          </cell>
          <cell r="DK530">
            <v>380</v>
          </cell>
          <cell r="DL530">
            <v>389</v>
          </cell>
          <cell r="DM530">
            <v>328</v>
          </cell>
          <cell r="DN530">
            <v>349</v>
          </cell>
          <cell r="DO530">
            <v>358</v>
          </cell>
          <cell r="DP530">
            <v>490</v>
          </cell>
          <cell r="DQ530">
            <v>555</v>
          </cell>
          <cell r="DR530">
            <v>557</v>
          </cell>
          <cell r="DS530">
            <v>577</v>
          </cell>
          <cell r="DT530">
            <v>593</v>
          </cell>
          <cell r="DU530">
            <v>659</v>
          </cell>
          <cell r="DV530">
            <v>743</v>
          </cell>
          <cell r="DW530">
            <v>604</v>
          </cell>
          <cell r="DX530">
            <v>492</v>
          </cell>
          <cell r="DY530">
            <v>430</v>
          </cell>
          <cell r="DZ530">
            <v>191</v>
          </cell>
          <cell r="EA530">
            <v>64</v>
          </cell>
          <cell r="EB530">
            <v>11</v>
          </cell>
          <cell r="EC530" t="str">
            <v>-</v>
          </cell>
        </row>
        <row r="531">
          <cell r="B531">
            <v>201</v>
          </cell>
          <cell r="C531">
            <v>15210</v>
          </cell>
          <cell r="D531" t="str">
            <v>d</v>
          </cell>
          <cell r="G531" t="str">
            <v>十日町市　人口集中地区</v>
          </cell>
          <cell r="DF531">
            <v>20</v>
          </cell>
          <cell r="DI531">
            <v>322</v>
          </cell>
          <cell r="DJ531">
            <v>348</v>
          </cell>
          <cell r="DK531">
            <v>353</v>
          </cell>
          <cell r="DL531">
            <v>305</v>
          </cell>
          <cell r="DM531">
            <v>243</v>
          </cell>
          <cell r="DN531">
            <v>328</v>
          </cell>
          <cell r="DO531">
            <v>372</v>
          </cell>
          <cell r="DP531">
            <v>449</v>
          </cell>
          <cell r="DQ531">
            <v>586</v>
          </cell>
          <cell r="DR531">
            <v>545</v>
          </cell>
          <cell r="DS531">
            <v>513</v>
          </cell>
          <cell r="DT531">
            <v>521</v>
          </cell>
          <cell r="DU531">
            <v>539</v>
          </cell>
          <cell r="DV531">
            <v>613</v>
          </cell>
          <cell r="DW531">
            <v>558</v>
          </cell>
          <cell r="DX531">
            <v>488</v>
          </cell>
          <cell r="DY531">
            <v>390</v>
          </cell>
          <cell r="DZ531">
            <v>184</v>
          </cell>
          <cell r="EA531">
            <v>43</v>
          </cell>
          <cell r="EB531">
            <v>15</v>
          </cell>
          <cell r="EC531">
            <v>3</v>
          </cell>
        </row>
        <row r="532">
          <cell r="B532">
            <v>201</v>
          </cell>
          <cell r="C532">
            <v>15211</v>
          </cell>
          <cell r="D532" t="str">
            <v>d</v>
          </cell>
          <cell r="G532" t="str">
            <v>見附市　人口集中地区</v>
          </cell>
          <cell r="DF532">
            <v>29</v>
          </cell>
          <cell r="DI532">
            <v>481</v>
          </cell>
          <cell r="DJ532">
            <v>501</v>
          </cell>
          <cell r="DK532">
            <v>623</v>
          </cell>
          <cell r="DL532">
            <v>587</v>
          </cell>
          <cell r="DM532">
            <v>442</v>
          </cell>
          <cell r="DN532">
            <v>576</v>
          </cell>
          <cell r="DO532">
            <v>680</v>
          </cell>
          <cell r="DP532">
            <v>796</v>
          </cell>
          <cell r="DQ532">
            <v>939</v>
          </cell>
          <cell r="DR532">
            <v>772</v>
          </cell>
          <cell r="DS532">
            <v>797</v>
          </cell>
          <cell r="DT532">
            <v>831</v>
          </cell>
          <cell r="DU532">
            <v>905</v>
          </cell>
          <cell r="DV532">
            <v>1021</v>
          </cell>
          <cell r="DW532">
            <v>762</v>
          </cell>
          <cell r="DX532">
            <v>602</v>
          </cell>
          <cell r="DY532">
            <v>454</v>
          </cell>
          <cell r="DZ532">
            <v>250</v>
          </cell>
          <cell r="EA532">
            <v>70</v>
          </cell>
          <cell r="EB532">
            <v>13</v>
          </cell>
          <cell r="EC532">
            <v>1</v>
          </cell>
        </row>
        <row r="533">
          <cell r="B533">
            <v>201</v>
          </cell>
          <cell r="C533">
            <v>15212</v>
          </cell>
          <cell r="D533" t="str">
            <v>d</v>
          </cell>
          <cell r="G533" t="str">
            <v>村上市　人口集中地区</v>
          </cell>
          <cell r="DF533">
            <v>33</v>
          </cell>
          <cell r="DI533">
            <v>284</v>
          </cell>
          <cell r="DJ533">
            <v>288</v>
          </cell>
          <cell r="DK533">
            <v>356</v>
          </cell>
          <cell r="DL533">
            <v>438</v>
          </cell>
          <cell r="DM533">
            <v>299</v>
          </cell>
          <cell r="DN533">
            <v>362</v>
          </cell>
          <cell r="DO533">
            <v>343</v>
          </cell>
          <cell r="DP533">
            <v>498</v>
          </cell>
          <cell r="DQ533">
            <v>562</v>
          </cell>
          <cell r="DR533">
            <v>511</v>
          </cell>
          <cell r="DS533">
            <v>512</v>
          </cell>
          <cell r="DT533">
            <v>507</v>
          </cell>
          <cell r="DU533">
            <v>551</v>
          </cell>
          <cell r="DV533">
            <v>663</v>
          </cell>
          <cell r="DW533">
            <v>533</v>
          </cell>
          <cell r="DX533">
            <v>437</v>
          </cell>
          <cell r="DY533">
            <v>371</v>
          </cell>
          <cell r="DZ533">
            <v>166</v>
          </cell>
          <cell r="EA533">
            <v>61</v>
          </cell>
          <cell r="EB533">
            <v>13</v>
          </cell>
          <cell r="EC533">
            <v>1</v>
          </cell>
        </row>
        <row r="534">
          <cell r="B534">
            <v>201</v>
          </cell>
          <cell r="C534">
            <v>15213</v>
          </cell>
          <cell r="D534" t="str">
            <v>d</v>
          </cell>
          <cell r="G534" t="str">
            <v>燕市　人口集中地区</v>
          </cell>
          <cell r="DF534">
            <v>37</v>
          </cell>
          <cell r="DI534">
            <v>494</v>
          </cell>
          <cell r="DJ534">
            <v>552</v>
          </cell>
          <cell r="DK534">
            <v>646</v>
          </cell>
          <cell r="DL534">
            <v>734</v>
          </cell>
          <cell r="DM534">
            <v>592</v>
          </cell>
          <cell r="DN534">
            <v>651</v>
          </cell>
          <cell r="DO534">
            <v>778</v>
          </cell>
          <cell r="DP534">
            <v>902</v>
          </cell>
          <cell r="DQ534">
            <v>1078</v>
          </cell>
          <cell r="DR534">
            <v>1077</v>
          </cell>
          <cell r="DS534">
            <v>1079</v>
          </cell>
          <cell r="DT534">
            <v>1094</v>
          </cell>
          <cell r="DU534">
            <v>1117</v>
          </cell>
          <cell r="DV534">
            <v>1142</v>
          </cell>
          <cell r="DW534">
            <v>1033</v>
          </cell>
          <cell r="DX534">
            <v>944</v>
          </cell>
          <cell r="DY534">
            <v>638</v>
          </cell>
          <cell r="DZ534">
            <v>345</v>
          </cell>
          <cell r="EA534">
            <v>84</v>
          </cell>
          <cell r="EB534">
            <v>19</v>
          </cell>
          <cell r="EC534">
            <v>3</v>
          </cell>
        </row>
        <row r="535">
          <cell r="B535">
            <v>201</v>
          </cell>
          <cell r="C535">
            <v>15216</v>
          </cell>
          <cell r="D535" t="str">
            <v>d</v>
          </cell>
          <cell r="G535" t="str">
            <v>糸魚川市　人口集中地区</v>
          </cell>
          <cell r="DF535">
            <v>32</v>
          </cell>
          <cell r="DI535">
            <v>311</v>
          </cell>
          <cell r="DJ535">
            <v>370</v>
          </cell>
          <cell r="DK535">
            <v>397</v>
          </cell>
          <cell r="DL535">
            <v>330</v>
          </cell>
          <cell r="DM535">
            <v>306</v>
          </cell>
          <cell r="DN535">
            <v>406</v>
          </cell>
          <cell r="DO535">
            <v>418</v>
          </cell>
          <cell r="DP535">
            <v>542</v>
          </cell>
          <cell r="DQ535">
            <v>603</v>
          </cell>
          <cell r="DR535">
            <v>577</v>
          </cell>
          <cell r="DS535">
            <v>561</v>
          </cell>
          <cell r="DT535">
            <v>553</v>
          </cell>
          <cell r="DU535">
            <v>642</v>
          </cell>
          <cell r="DV535">
            <v>751</v>
          </cell>
          <cell r="DW535">
            <v>658</v>
          </cell>
          <cell r="DX535">
            <v>555</v>
          </cell>
          <cell r="DY535">
            <v>435</v>
          </cell>
          <cell r="DZ535">
            <v>231</v>
          </cell>
          <cell r="EA535">
            <v>91</v>
          </cell>
          <cell r="EB535">
            <v>12</v>
          </cell>
          <cell r="EC535">
            <v>2</v>
          </cell>
        </row>
        <row r="536">
          <cell r="B536">
            <v>201</v>
          </cell>
          <cell r="C536">
            <v>15217</v>
          </cell>
          <cell r="D536" t="str">
            <v>d</v>
          </cell>
          <cell r="G536" t="str">
            <v>妙高市　人口集中地区</v>
          </cell>
          <cell r="DF536">
            <v>8</v>
          </cell>
          <cell r="DI536">
            <v>173</v>
          </cell>
          <cell r="DJ536">
            <v>177</v>
          </cell>
          <cell r="DK536">
            <v>215</v>
          </cell>
          <cell r="DL536">
            <v>223</v>
          </cell>
          <cell r="DM536">
            <v>145</v>
          </cell>
          <cell r="DN536">
            <v>207</v>
          </cell>
          <cell r="DO536">
            <v>225</v>
          </cell>
          <cell r="DP536">
            <v>226</v>
          </cell>
          <cell r="DQ536">
            <v>282</v>
          </cell>
          <cell r="DR536">
            <v>289</v>
          </cell>
          <cell r="DS536">
            <v>311</v>
          </cell>
          <cell r="DT536">
            <v>244</v>
          </cell>
          <cell r="DU536">
            <v>310</v>
          </cell>
          <cell r="DV536">
            <v>351</v>
          </cell>
          <cell r="DW536">
            <v>275</v>
          </cell>
          <cell r="DX536">
            <v>228</v>
          </cell>
          <cell r="DY536">
            <v>186</v>
          </cell>
          <cell r="DZ536">
            <v>116</v>
          </cell>
          <cell r="EA536">
            <v>47</v>
          </cell>
          <cell r="EB536">
            <v>11</v>
          </cell>
          <cell r="EC536">
            <v>2</v>
          </cell>
        </row>
        <row r="537">
          <cell r="B537">
            <v>201</v>
          </cell>
          <cell r="C537">
            <v>15218</v>
          </cell>
          <cell r="D537" t="str">
            <v>d</v>
          </cell>
          <cell r="G537" t="str">
            <v>五泉市　人口集中地区</v>
          </cell>
          <cell r="DF537">
            <v>5</v>
          </cell>
          <cell r="DI537">
            <v>402</v>
          </cell>
          <cell r="DJ537">
            <v>413</v>
          </cell>
          <cell r="DK537">
            <v>469</v>
          </cell>
          <cell r="DL537">
            <v>510</v>
          </cell>
          <cell r="DM537">
            <v>365</v>
          </cell>
          <cell r="DN537">
            <v>440</v>
          </cell>
          <cell r="DO537">
            <v>529</v>
          </cell>
          <cell r="DP537">
            <v>672</v>
          </cell>
          <cell r="DQ537">
            <v>692</v>
          </cell>
          <cell r="DR537">
            <v>715</v>
          </cell>
          <cell r="DS537">
            <v>637</v>
          </cell>
          <cell r="DT537">
            <v>637</v>
          </cell>
          <cell r="DU537">
            <v>768</v>
          </cell>
          <cell r="DV537">
            <v>923</v>
          </cell>
          <cell r="DW537">
            <v>676</v>
          </cell>
          <cell r="DX537">
            <v>648</v>
          </cell>
          <cell r="DY537">
            <v>433</v>
          </cell>
          <cell r="DZ537">
            <v>260</v>
          </cell>
          <cell r="EA537">
            <v>78</v>
          </cell>
          <cell r="EB537">
            <v>9</v>
          </cell>
          <cell r="EC537" t="str">
            <v>-</v>
          </cell>
        </row>
        <row r="538">
          <cell r="B538">
            <v>201</v>
          </cell>
          <cell r="C538">
            <v>15222</v>
          </cell>
          <cell r="D538" t="str">
            <v>d</v>
          </cell>
          <cell r="G538" t="str">
            <v>上越市　人口集中地区</v>
          </cell>
          <cell r="DF538">
            <v>345</v>
          </cell>
          <cell r="DI538">
            <v>1820</v>
          </cell>
          <cell r="DJ538">
            <v>1873</v>
          </cell>
          <cell r="DK538">
            <v>2014</v>
          </cell>
          <cell r="DL538">
            <v>1968</v>
          </cell>
          <cell r="DM538">
            <v>1602</v>
          </cell>
          <cell r="DN538">
            <v>2053</v>
          </cell>
          <cell r="DO538">
            <v>2322</v>
          </cell>
          <cell r="DP538">
            <v>2675</v>
          </cell>
          <cell r="DQ538">
            <v>3135</v>
          </cell>
          <cell r="DR538">
            <v>2900</v>
          </cell>
          <cell r="DS538">
            <v>2565</v>
          </cell>
          <cell r="DT538">
            <v>2398</v>
          </cell>
          <cell r="DU538">
            <v>2725</v>
          </cell>
          <cell r="DV538">
            <v>3055</v>
          </cell>
          <cell r="DW538">
            <v>2341</v>
          </cell>
          <cell r="DX538">
            <v>1868</v>
          </cell>
          <cell r="DY538">
            <v>1342</v>
          </cell>
          <cell r="DZ538">
            <v>808</v>
          </cell>
          <cell r="EA538">
            <v>260</v>
          </cell>
          <cell r="EB538">
            <v>63</v>
          </cell>
          <cell r="EC538">
            <v>5</v>
          </cell>
        </row>
        <row r="539">
          <cell r="B539">
            <v>201</v>
          </cell>
          <cell r="C539">
            <v>15223</v>
          </cell>
          <cell r="D539" t="str">
            <v>d</v>
          </cell>
          <cell r="G539" t="str">
            <v>阿賀野市　人口集中地区</v>
          </cell>
          <cell r="DF539">
            <v>8</v>
          </cell>
          <cell r="DI539">
            <v>236</v>
          </cell>
          <cell r="DJ539">
            <v>277</v>
          </cell>
          <cell r="DK539">
            <v>270</v>
          </cell>
          <cell r="DL539">
            <v>279</v>
          </cell>
          <cell r="DM539">
            <v>247</v>
          </cell>
          <cell r="DN539">
            <v>258</v>
          </cell>
          <cell r="DO539">
            <v>318</v>
          </cell>
          <cell r="DP539">
            <v>402</v>
          </cell>
          <cell r="DQ539">
            <v>418</v>
          </cell>
          <cell r="DR539">
            <v>376</v>
          </cell>
          <cell r="DS539">
            <v>385</v>
          </cell>
          <cell r="DT539">
            <v>374</v>
          </cell>
          <cell r="DU539">
            <v>455</v>
          </cell>
          <cell r="DV539">
            <v>445</v>
          </cell>
          <cell r="DW539">
            <v>340</v>
          </cell>
          <cell r="DX539">
            <v>283</v>
          </cell>
          <cell r="DY539">
            <v>209</v>
          </cell>
          <cell r="DZ539">
            <v>110</v>
          </cell>
          <cell r="EA539">
            <v>19</v>
          </cell>
          <cell r="EB539">
            <v>1</v>
          </cell>
          <cell r="EC539" t="str">
            <v>-</v>
          </cell>
        </row>
        <row r="540">
          <cell r="B540">
            <v>201</v>
          </cell>
          <cell r="C540">
            <v>15226</v>
          </cell>
          <cell r="D540" t="str">
            <v>d</v>
          </cell>
          <cell r="G540" t="str">
            <v>南魚沼市　人口集中地区</v>
          </cell>
          <cell r="DF540" t="str">
            <v>-</v>
          </cell>
          <cell r="DI540">
            <v>123</v>
          </cell>
          <cell r="DJ540">
            <v>135</v>
          </cell>
          <cell r="DK540">
            <v>160</v>
          </cell>
          <cell r="DL540">
            <v>165</v>
          </cell>
          <cell r="DM540">
            <v>141</v>
          </cell>
          <cell r="DN540">
            <v>181</v>
          </cell>
          <cell r="DO540">
            <v>202</v>
          </cell>
          <cell r="DP540">
            <v>217</v>
          </cell>
          <cell r="DQ540">
            <v>240</v>
          </cell>
          <cell r="DR540">
            <v>237</v>
          </cell>
          <cell r="DS540">
            <v>205</v>
          </cell>
          <cell r="DT540">
            <v>223</v>
          </cell>
          <cell r="DU540">
            <v>233</v>
          </cell>
          <cell r="DV540">
            <v>205</v>
          </cell>
          <cell r="DW540">
            <v>177</v>
          </cell>
          <cell r="DX540">
            <v>126</v>
          </cell>
          <cell r="DY540">
            <v>99</v>
          </cell>
          <cell r="DZ540">
            <v>54</v>
          </cell>
          <cell r="EA540">
            <v>21</v>
          </cell>
          <cell r="EB540">
            <v>7</v>
          </cell>
          <cell r="EC540">
            <v>1</v>
          </cell>
        </row>
        <row r="717">
          <cell r="B717">
            <v>301</v>
          </cell>
          <cell r="C717">
            <v>15000</v>
          </cell>
          <cell r="D717" t="str">
            <v>a</v>
          </cell>
          <cell r="G717" t="str">
            <v>新潟県</v>
          </cell>
          <cell r="DF717">
            <v>3956</v>
          </cell>
          <cell r="DI717">
            <v>40908</v>
          </cell>
          <cell r="DJ717">
            <v>44769</v>
          </cell>
          <cell r="DK717">
            <v>48802</v>
          </cell>
          <cell r="DL717">
            <v>52151</v>
          </cell>
          <cell r="DM717">
            <v>46046</v>
          </cell>
          <cell r="DN717">
            <v>50471</v>
          </cell>
          <cell r="DO717">
            <v>58427</v>
          </cell>
          <cell r="DP717">
            <v>69228</v>
          </cell>
          <cell r="DQ717">
            <v>77832</v>
          </cell>
          <cell r="DR717">
            <v>70715</v>
          </cell>
          <cell r="DS717">
            <v>69908</v>
          </cell>
          <cell r="DT717">
            <v>73971</v>
          </cell>
          <cell r="DU717">
            <v>88211</v>
          </cell>
          <cell r="DV717">
            <v>94051</v>
          </cell>
          <cell r="DW717">
            <v>74214</v>
          </cell>
          <cell r="DX717">
            <v>71552</v>
          </cell>
          <cell r="DY717">
            <v>66879</v>
          </cell>
          <cell r="DZ717">
            <v>51388</v>
          </cell>
          <cell r="EA717">
            <v>26361</v>
          </cell>
          <cell r="EB717">
            <v>7682</v>
          </cell>
          <cell r="EC717">
            <v>1329</v>
          </cell>
        </row>
        <row r="718">
          <cell r="B718">
            <v>301</v>
          </cell>
          <cell r="C718">
            <v>15001</v>
          </cell>
          <cell r="D718" t="str">
            <v>b</v>
          </cell>
          <cell r="G718" t="str">
            <v>市部</v>
          </cell>
          <cell r="DF718">
            <v>3939</v>
          </cell>
          <cell r="DI718">
            <v>39641</v>
          </cell>
          <cell r="DJ718">
            <v>43407</v>
          </cell>
          <cell r="DK718">
            <v>47189</v>
          </cell>
          <cell r="DL718">
            <v>50445</v>
          </cell>
          <cell r="DM718">
            <v>44744</v>
          </cell>
          <cell r="DN718">
            <v>48994</v>
          </cell>
          <cell r="DO718">
            <v>56749</v>
          </cell>
          <cell r="DP718">
            <v>67213</v>
          </cell>
          <cell r="DQ718">
            <v>75525</v>
          </cell>
          <cell r="DR718">
            <v>68527</v>
          </cell>
          <cell r="DS718">
            <v>67626</v>
          </cell>
          <cell r="DT718">
            <v>71352</v>
          </cell>
          <cell r="DU718">
            <v>84998</v>
          </cell>
          <cell r="DV718">
            <v>90876</v>
          </cell>
          <cell r="DW718">
            <v>71538</v>
          </cell>
          <cell r="DX718">
            <v>68689</v>
          </cell>
          <cell r="DY718">
            <v>63952</v>
          </cell>
          <cell r="DZ718">
            <v>49008</v>
          </cell>
          <cell r="EA718">
            <v>25047</v>
          </cell>
          <cell r="EB718">
            <v>7308</v>
          </cell>
          <cell r="EC718">
            <v>1265</v>
          </cell>
        </row>
        <row r="719">
          <cell r="B719">
            <v>301</v>
          </cell>
          <cell r="C719">
            <v>15002</v>
          </cell>
          <cell r="D719" t="str">
            <v>b</v>
          </cell>
          <cell r="G719" t="str">
            <v>郡部</v>
          </cell>
          <cell r="DF719">
            <v>17</v>
          </cell>
          <cell r="DI719">
            <v>1267</v>
          </cell>
          <cell r="DJ719">
            <v>1362</v>
          </cell>
          <cell r="DK719">
            <v>1613</v>
          </cell>
          <cell r="DL719">
            <v>1706</v>
          </cell>
          <cell r="DM719">
            <v>1302</v>
          </cell>
          <cell r="DN719">
            <v>1477</v>
          </cell>
          <cell r="DO719">
            <v>1678</v>
          </cell>
          <cell r="DP719">
            <v>2015</v>
          </cell>
          <cell r="DQ719">
            <v>2307</v>
          </cell>
          <cell r="DR719">
            <v>2188</v>
          </cell>
          <cell r="DS719">
            <v>2282</v>
          </cell>
          <cell r="DT719">
            <v>2619</v>
          </cell>
          <cell r="DU719">
            <v>3213</v>
          </cell>
          <cell r="DV719">
            <v>3175</v>
          </cell>
          <cell r="DW719">
            <v>2676</v>
          </cell>
          <cell r="DX719">
            <v>2863</v>
          </cell>
          <cell r="DY719">
            <v>2927</v>
          </cell>
          <cell r="DZ719">
            <v>2380</v>
          </cell>
          <cell r="EA719">
            <v>1314</v>
          </cell>
          <cell r="EB719">
            <v>374</v>
          </cell>
          <cell r="EC719">
            <v>64</v>
          </cell>
        </row>
        <row r="720">
          <cell r="B720">
            <v>301</v>
          </cell>
          <cell r="C720">
            <v>15100</v>
          </cell>
          <cell r="D720">
            <v>1</v>
          </cell>
          <cell r="G720" t="str">
            <v>新潟市</v>
          </cell>
          <cell r="DF720">
            <v>2399</v>
          </cell>
          <cell r="DI720">
            <v>15099</v>
          </cell>
          <cell r="DJ720">
            <v>16185</v>
          </cell>
          <cell r="DK720">
            <v>16835</v>
          </cell>
          <cell r="DL720">
            <v>19500</v>
          </cell>
          <cell r="DM720">
            <v>19939</v>
          </cell>
          <cell r="DN720">
            <v>19979</v>
          </cell>
          <cell r="DO720">
            <v>22710</v>
          </cell>
          <cell r="DP720">
            <v>26657</v>
          </cell>
          <cell r="DQ720">
            <v>30282</v>
          </cell>
          <cell r="DR720">
            <v>26548</v>
          </cell>
          <cell r="DS720">
            <v>25160</v>
          </cell>
          <cell r="DT720">
            <v>25012</v>
          </cell>
          <cell r="DU720">
            <v>29485</v>
          </cell>
          <cell r="DV720">
            <v>32525</v>
          </cell>
          <cell r="DW720">
            <v>24904</v>
          </cell>
          <cell r="DX720">
            <v>22518</v>
          </cell>
          <cell r="DY720">
            <v>20052</v>
          </cell>
          <cell r="DZ720">
            <v>14767</v>
          </cell>
          <cell r="EA720">
            <v>7403</v>
          </cell>
          <cell r="EB720">
            <v>2286</v>
          </cell>
          <cell r="EC720">
            <v>400</v>
          </cell>
        </row>
        <row r="721">
          <cell r="B721">
            <v>301</v>
          </cell>
          <cell r="C721">
            <v>15100</v>
          </cell>
          <cell r="D721">
            <v>9</v>
          </cell>
          <cell r="G721" t="str">
            <v>　　(旧 201 新潟市)</v>
          </cell>
          <cell r="DF721">
            <v>2017</v>
          </cell>
          <cell r="DI721">
            <v>9353</v>
          </cell>
          <cell r="DJ721">
            <v>9838</v>
          </cell>
          <cell r="DK721">
            <v>10087</v>
          </cell>
          <cell r="DL721">
            <v>12370</v>
          </cell>
          <cell r="DM721">
            <v>13478</v>
          </cell>
          <cell r="DN721">
            <v>12818</v>
          </cell>
          <cell r="DO721">
            <v>14551</v>
          </cell>
          <cell r="DP721">
            <v>16958</v>
          </cell>
          <cell r="DQ721">
            <v>19400</v>
          </cell>
          <cell r="DR721">
            <v>17141</v>
          </cell>
          <cell r="DS721">
            <v>15711</v>
          </cell>
          <cell r="DT721">
            <v>14939</v>
          </cell>
          <cell r="DU721">
            <v>17684</v>
          </cell>
          <cell r="DV721">
            <v>20137</v>
          </cell>
          <cell r="DW721">
            <v>15853</v>
          </cell>
          <cell r="DX721">
            <v>13763</v>
          </cell>
          <cell r="DY721">
            <v>11985</v>
          </cell>
          <cell r="DZ721">
            <v>8537</v>
          </cell>
          <cell r="EA721">
            <v>4278</v>
          </cell>
          <cell r="EB721">
            <v>1320</v>
          </cell>
          <cell r="EC721">
            <v>237</v>
          </cell>
        </row>
        <row r="722">
          <cell r="B722">
            <v>301</v>
          </cell>
          <cell r="C722">
            <v>15100</v>
          </cell>
          <cell r="D722">
            <v>9</v>
          </cell>
          <cell r="G722" t="str">
            <v>　　(旧 207 新津市)</v>
          </cell>
          <cell r="DF722">
            <v>78</v>
          </cell>
          <cell r="DI722">
            <v>1236</v>
          </cell>
          <cell r="DJ722">
            <v>1498</v>
          </cell>
          <cell r="DK722">
            <v>1575</v>
          </cell>
          <cell r="DL722">
            <v>1471</v>
          </cell>
          <cell r="DM722">
            <v>1329</v>
          </cell>
          <cell r="DN722">
            <v>1489</v>
          </cell>
          <cell r="DO722">
            <v>1813</v>
          </cell>
          <cell r="DP722">
            <v>2228</v>
          </cell>
          <cell r="DQ722">
            <v>2463</v>
          </cell>
          <cell r="DR722">
            <v>2060</v>
          </cell>
          <cell r="DS722">
            <v>2055</v>
          </cell>
          <cell r="DT722">
            <v>2110</v>
          </cell>
          <cell r="DU722">
            <v>2634</v>
          </cell>
          <cell r="DV722">
            <v>2730</v>
          </cell>
          <cell r="DW722">
            <v>2130</v>
          </cell>
          <cell r="DX722">
            <v>2015</v>
          </cell>
          <cell r="DY722">
            <v>1897</v>
          </cell>
          <cell r="DZ722">
            <v>1503</v>
          </cell>
          <cell r="EA722">
            <v>720</v>
          </cell>
          <cell r="EB722">
            <v>197</v>
          </cell>
          <cell r="EC722">
            <v>34</v>
          </cell>
        </row>
        <row r="723">
          <cell r="B723">
            <v>301</v>
          </cell>
          <cell r="C723">
            <v>15100</v>
          </cell>
          <cell r="D723">
            <v>9</v>
          </cell>
          <cell r="G723" t="str">
            <v>　　(旧 220 白根市)</v>
          </cell>
          <cell r="DF723">
            <v>56</v>
          </cell>
          <cell r="DI723">
            <v>714</v>
          </cell>
          <cell r="DJ723">
            <v>739</v>
          </cell>
          <cell r="DK723">
            <v>838</v>
          </cell>
          <cell r="DL723">
            <v>844</v>
          </cell>
          <cell r="DM723">
            <v>847</v>
          </cell>
          <cell r="DN723">
            <v>912</v>
          </cell>
          <cell r="DO723">
            <v>969</v>
          </cell>
          <cell r="DP723">
            <v>1146</v>
          </cell>
          <cell r="DQ723">
            <v>1237</v>
          </cell>
          <cell r="DR723">
            <v>1150</v>
          </cell>
          <cell r="DS723">
            <v>1316</v>
          </cell>
          <cell r="DT723">
            <v>1371</v>
          </cell>
          <cell r="DU723">
            <v>1435</v>
          </cell>
          <cell r="DV723">
            <v>1436</v>
          </cell>
          <cell r="DW723">
            <v>970</v>
          </cell>
          <cell r="DX723">
            <v>1081</v>
          </cell>
          <cell r="DY723">
            <v>979</v>
          </cell>
          <cell r="DZ723">
            <v>829</v>
          </cell>
          <cell r="EA723">
            <v>424</v>
          </cell>
          <cell r="EB723">
            <v>137</v>
          </cell>
          <cell r="EC723">
            <v>23</v>
          </cell>
        </row>
        <row r="724">
          <cell r="B724">
            <v>301</v>
          </cell>
          <cell r="C724">
            <v>15100</v>
          </cell>
          <cell r="D724">
            <v>9</v>
          </cell>
          <cell r="G724" t="str">
            <v>　　(旧 221 豊栄市)</v>
          </cell>
          <cell r="DF724">
            <v>102</v>
          </cell>
          <cell r="DI724">
            <v>927</v>
          </cell>
          <cell r="DJ724">
            <v>1030</v>
          </cell>
          <cell r="DK724">
            <v>1081</v>
          </cell>
          <cell r="DL724">
            <v>1339</v>
          </cell>
          <cell r="DM724">
            <v>1363</v>
          </cell>
          <cell r="DN724">
            <v>1112</v>
          </cell>
          <cell r="DO724">
            <v>1272</v>
          </cell>
          <cell r="DP724">
            <v>1549</v>
          </cell>
          <cell r="DQ724">
            <v>1761</v>
          </cell>
          <cell r="DR724">
            <v>1488</v>
          </cell>
          <cell r="DS724">
            <v>1456</v>
          </cell>
          <cell r="DT724">
            <v>1540</v>
          </cell>
          <cell r="DU724">
            <v>1974</v>
          </cell>
          <cell r="DV724">
            <v>2165</v>
          </cell>
          <cell r="DW724">
            <v>1429</v>
          </cell>
          <cell r="DX724">
            <v>1288</v>
          </cell>
          <cell r="DY724">
            <v>1126</v>
          </cell>
          <cell r="DZ724">
            <v>814</v>
          </cell>
          <cell r="EA724">
            <v>383</v>
          </cell>
          <cell r="EB724">
            <v>124</v>
          </cell>
          <cell r="EC724">
            <v>26</v>
          </cell>
        </row>
        <row r="725">
          <cell r="B725">
            <v>301</v>
          </cell>
          <cell r="C725">
            <v>15100</v>
          </cell>
          <cell r="D725">
            <v>9</v>
          </cell>
          <cell r="G725" t="str">
            <v>　　(旧 321 小須戸町)</v>
          </cell>
          <cell r="DF725">
            <v>6</v>
          </cell>
          <cell r="DI725">
            <v>135</v>
          </cell>
          <cell r="DJ725">
            <v>173</v>
          </cell>
          <cell r="DK725">
            <v>188</v>
          </cell>
          <cell r="DL725">
            <v>228</v>
          </cell>
          <cell r="DM725">
            <v>172</v>
          </cell>
          <cell r="DN725">
            <v>197</v>
          </cell>
          <cell r="DO725">
            <v>209</v>
          </cell>
          <cell r="DP725">
            <v>265</v>
          </cell>
          <cell r="DQ725">
            <v>342</v>
          </cell>
          <cell r="DR725">
            <v>319</v>
          </cell>
          <cell r="DS725">
            <v>305</v>
          </cell>
          <cell r="DT725">
            <v>318</v>
          </cell>
          <cell r="DU725">
            <v>355</v>
          </cell>
          <cell r="DV725">
            <v>394</v>
          </cell>
          <cell r="DW725">
            <v>315</v>
          </cell>
          <cell r="DX725">
            <v>345</v>
          </cell>
          <cell r="DY725">
            <v>262</v>
          </cell>
          <cell r="DZ725">
            <v>213</v>
          </cell>
          <cell r="EA725">
            <v>104</v>
          </cell>
          <cell r="EB725">
            <v>40</v>
          </cell>
          <cell r="EC725">
            <v>4</v>
          </cell>
        </row>
        <row r="726">
          <cell r="B726">
            <v>301</v>
          </cell>
          <cell r="C726">
            <v>15100</v>
          </cell>
          <cell r="D726">
            <v>9</v>
          </cell>
          <cell r="G726" t="str">
            <v>　　(旧 323 横越町)</v>
          </cell>
          <cell r="DF726">
            <v>11</v>
          </cell>
          <cell r="DI726">
            <v>257</v>
          </cell>
          <cell r="DJ726">
            <v>268</v>
          </cell>
          <cell r="DK726">
            <v>307</v>
          </cell>
          <cell r="DL726">
            <v>314</v>
          </cell>
          <cell r="DM726">
            <v>222</v>
          </cell>
          <cell r="DN726">
            <v>303</v>
          </cell>
          <cell r="DO726">
            <v>349</v>
          </cell>
          <cell r="DP726">
            <v>437</v>
          </cell>
          <cell r="DQ726">
            <v>472</v>
          </cell>
          <cell r="DR726">
            <v>355</v>
          </cell>
          <cell r="DS726">
            <v>350</v>
          </cell>
          <cell r="DT726">
            <v>396</v>
          </cell>
          <cell r="DU726">
            <v>429</v>
          </cell>
          <cell r="DV726">
            <v>428</v>
          </cell>
          <cell r="DW726">
            <v>256</v>
          </cell>
          <cell r="DX726">
            <v>287</v>
          </cell>
          <cell r="DY726">
            <v>255</v>
          </cell>
          <cell r="DZ726">
            <v>217</v>
          </cell>
          <cell r="EA726">
            <v>103</v>
          </cell>
          <cell r="EB726">
            <v>33</v>
          </cell>
          <cell r="EC726">
            <v>6</v>
          </cell>
        </row>
        <row r="727">
          <cell r="B727">
            <v>301</v>
          </cell>
          <cell r="C727">
            <v>15100</v>
          </cell>
          <cell r="D727">
            <v>9</v>
          </cell>
          <cell r="G727" t="str">
            <v>　　(旧 324 亀田町)</v>
          </cell>
          <cell r="DF727">
            <v>71</v>
          </cell>
          <cell r="DI727">
            <v>771</v>
          </cell>
          <cell r="DJ727">
            <v>877</v>
          </cell>
          <cell r="DK727">
            <v>797</v>
          </cell>
          <cell r="DL727">
            <v>758</v>
          </cell>
          <cell r="DM727">
            <v>723</v>
          </cell>
          <cell r="DN727">
            <v>944</v>
          </cell>
          <cell r="DO727">
            <v>1062</v>
          </cell>
          <cell r="DP727">
            <v>1318</v>
          </cell>
          <cell r="DQ727">
            <v>1431</v>
          </cell>
          <cell r="DR727">
            <v>1129</v>
          </cell>
          <cell r="DS727">
            <v>985</v>
          </cell>
          <cell r="DT727">
            <v>1097</v>
          </cell>
          <cell r="DU727">
            <v>1270</v>
          </cell>
          <cell r="DV727">
            <v>1399</v>
          </cell>
          <cell r="DW727">
            <v>1098</v>
          </cell>
          <cell r="DX727">
            <v>934</v>
          </cell>
          <cell r="DY727">
            <v>842</v>
          </cell>
          <cell r="DZ727">
            <v>569</v>
          </cell>
          <cell r="EA727">
            <v>304</v>
          </cell>
          <cell r="EB727">
            <v>99</v>
          </cell>
          <cell r="EC727">
            <v>10</v>
          </cell>
        </row>
        <row r="728">
          <cell r="B728">
            <v>301</v>
          </cell>
          <cell r="C728">
            <v>15100</v>
          </cell>
          <cell r="D728">
            <v>9</v>
          </cell>
          <cell r="G728" t="str">
            <v>　　(旧 341 岩室村)</v>
          </cell>
          <cell r="DF728">
            <v>3</v>
          </cell>
          <cell r="DI728">
            <v>132</v>
          </cell>
          <cell r="DJ728">
            <v>147</v>
          </cell>
          <cell r="DK728">
            <v>187</v>
          </cell>
          <cell r="DL728">
            <v>182</v>
          </cell>
          <cell r="DM728">
            <v>162</v>
          </cell>
          <cell r="DN728">
            <v>146</v>
          </cell>
          <cell r="DO728">
            <v>207</v>
          </cell>
          <cell r="DP728">
            <v>244</v>
          </cell>
          <cell r="DQ728">
            <v>260</v>
          </cell>
          <cell r="DR728">
            <v>246</v>
          </cell>
          <cell r="DS728">
            <v>284</v>
          </cell>
          <cell r="DT728">
            <v>323</v>
          </cell>
          <cell r="DU728">
            <v>360</v>
          </cell>
          <cell r="DV728">
            <v>435</v>
          </cell>
          <cell r="DW728">
            <v>296</v>
          </cell>
          <cell r="DX728">
            <v>314</v>
          </cell>
          <cell r="DY728">
            <v>303</v>
          </cell>
          <cell r="DZ728">
            <v>243</v>
          </cell>
          <cell r="EA728">
            <v>158</v>
          </cell>
          <cell r="EB728">
            <v>54</v>
          </cell>
          <cell r="EC728">
            <v>9</v>
          </cell>
        </row>
        <row r="729">
          <cell r="B729">
            <v>301</v>
          </cell>
          <cell r="C729">
            <v>15100</v>
          </cell>
          <cell r="D729">
            <v>9</v>
          </cell>
          <cell r="G729" t="str">
            <v>　　(旧 345 巻町)</v>
          </cell>
          <cell r="DF729">
            <v>17</v>
          </cell>
          <cell r="DI729">
            <v>455</v>
          </cell>
          <cell r="DJ729">
            <v>488</v>
          </cell>
          <cell r="DK729">
            <v>565</v>
          </cell>
          <cell r="DL729">
            <v>632</v>
          </cell>
          <cell r="DM729">
            <v>527</v>
          </cell>
          <cell r="DN729">
            <v>598</v>
          </cell>
          <cell r="DO729">
            <v>702</v>
          </cell>
          <cell r="DP729">
            <v>789</v>
          </cell>
          <cell r="DQ729">
            <v>934</v>
          </cell>
          <cell r="DR729">
            <v>864</v>
          </cell>
          <cell r="DS729">
            <v>854</v>
          </cell>
          <cell r="DT729">
            <v>893</v>
          </cell>
          <cell r="DU729">
            <v>1121</v>
          </cell>
          <cell r="DV729">
            <v>1173</v>
          </cell>
          <cell r="DW729">
            <v>836</v>
          </cell>
          <cell r="DX729">
            <v>863</v>
          </cell>
          <cell r="DY729">
            <v>822</v>
          </cell>
          <cell r="DZ729">
            <v>611</v>
          </cell>
          <cell r="EA729">
            <v>280</v>
          </cell>
          <cell r="EB729">
            <v>78</v>
          </cell>
          <cell r="EC729">
            <v>12</v>
          </cell>
        </row>
        <row r="730">
          <cell r="B730">
            <v>301</v>
          </cell>
          <cell r="C730">
            <v>15100</v>
          </cell>
          <cell r="D730">
            <v>9</v>
          </cell>
          <cell r="G730" t="str">
            <v>　　(旧 346 西川町)</v>
          </cell>
          <cell r="DF730">
            <v>3</v>
          </cell>
          <cell r="DI730">
            <v>167</v>
          </cell>
          <cell r="DJ730">
            <v>203</v>
          </cell>
          <cell r="DK730">
            <v>229</v>
          </cell>
          <cell r="DL730">
            <v>294</v>
          </cell>
          <cell r="DM730">
            <v>247</v>
          </cell>
          <cell r="DN730">
            <v>260</v>
          </cell>
          <cell r="DO730">
            <v>265</v>
          </cell>
          <cell r="DP730">
            <v>296</v>
          </cell>
          <cell r="DQ730">
            <v>392</v>
          </cell>
          <cell r="DR730">
            <v>359</v>
          </cell>
          <cell r="DS730">
            <v>406</v>
          </cell>
          <cell r="DT730">
            <v>436</v>
          </cell>
          <cell r="DU730">
            <v>456</v>
          </cell>
          <cell r="DV730">
            <v>458</v>
          </cell>
          <cell r="DW730">
            <v>355</v>
          </cell>
          <cell r="DX730">
            <v>322</v>
          </cell>
          <cell r="DY730">
            <v>356</v>
          </cell>
          <cell r="DZ730">
            <v>241</v>
          </cell>
          <cell r="EA730">
            <v>149</v>
          </cell>
          <cell r="EB730">
            <v>45</v>
          </cell>
          <cell r="EC730">
            <v>12</v>
          </cell>
        </row>
        <row r="731">
          <cell r="B731">
            <v>301</v>
          </cell>
          <cell r="C731">
            <v>15100</v>
          </cell>
          <cell r="D731">
            <v>9</v>
          </cell>
          <cell r="G731" t="str">
            <v>　　(旧 347 黒埼町)</v>
          </cell>
          <cell r="DF731">
            <v>32</v>
          </cell>
          <cell r="DI731">
            <v>596</v>
          </cell>
          <cell r="DJ731">
            <v>562</v>
          </cell>
          <cell r="DK731">
            <v>603</v>
          </cell>
          <cell r="DL731">
            <v>623</v>
          </cell>
          <cell r="DM731">
            <v>488</v>
          </cell>
          <cell r="DN731">
            <v>756</v>
          </cell>
          <cell r="DO731">
            <v>824</v>
          </cell>
          <cell r="DP731">
            <v>913</v>
          </cell>
          <cell r="DQ731">
            <v>1062</v>
          </cell>
          <cell r="DR731">
            <v>870</v>
          </cell>
          <cell r="DS731">
            <v>820</v>
          </cell>
          <cell r="DT731">
            <v>846</v>
          </cell>
          <cell r="DU731">
            <v>972</v>
          </cell>
          <cell r="DV731">
            <v>1071</v>
          </cell>
          <cell r="DW731">
            <v>826</v>
          </cell>
          <cell r="DX731">
            <v>704</v>
          </cell>
          <cell r="DY731">
            <v>602</v>
          </cell>
          <cell r="DZ731">
            <v>481</v>
          </cell>
          <cell r="EA731">
            <v>271</v>
          </cell>
          <cell r="EB731">
            <v>90</v>
          </cell>
          <cell r="EC731">
            <v>13</v>
          </cell>
        </row>
        <row r="732">
          <cell r="B732">
            <v>301</v>
          </cell>
          <cell r="C732">
            <v>15100</v>
          </cell>
          <cell r="D732">
            <v>9</v>
          </cell>
          <cell r="G732" t="str">
            <v>　　(旧 348 味方村)</v>
          </cell>
          <cell r="DF732">
            <v>3</v>
          </cell>
          <cell r="DI732">
            <v>108</v>
          </cell>
          <cell r="DJ732">
            <v>82</v>
          </cell>
          <cell r="DK732">
            <v>80</v>
          </cell>
          <cell r="DL732">
            <v>84</v>
          </cell>
          <cell r="DM732">
            <v>60</v>
          </cell>
          <cell r="DN732">
            <v>99</v>
          </cell>
          <cell r="DO732">
            <v>129</v>
          </cell>
          <cell r="DP732">
            <v>115</v>
          </cell>
          <cell r="DQ732">
            <v>124</v>
          </cell>
          <cell r="DR732">
            <v>118</v>
          </cell>
          <cell r="DS732">
            <v>134</v>
          </cell>
          <cell r="DT732">
            <v>162</v>
          </cell>
          <cell r="DU732">
            <v>176</v>
          </cell>
          <cell r="DV732">
            <v>180</v>
          </cell>
          <cell r="DW732">
            <v>137</v>
          </cell>
          <cell r="DX732">
            <v>153</v>
          </cell>
          <cell r="DY732">
            <v>177</v>
          </cell>
          <cell r="DZ732">
            <v>131</v>
          </cell>
          <cell r="EA732">
            <v>56</v>
          </cell>
          <cell r="EB732">
            <v>20</v>
          </cell>
          <cell r="EC732">
            <v>4</v>
          </cell>
        </row>
        <row r="733">
          <cell r="B733">
            <v>301</v>
          </cell>
          <cell r="C733">
            <v>15100</v>
          </cell>
          <cell r="D733">
            <v>9</v>
          </cell>
          <cell r="G733" t="str">
            <v>　　(旧 349 潟東村)</v>
          </cell>
          <cell r="DF733" t="str">
            <v>-</v>
          </cell>
          <cell r="DI733">
            <v>79</v>
          </cell>
          <cell r="DJ733">
            <v>104</v>
          </cell>
          <cell r="DK733">
            <v>112</v>
          </cell>
          <cell r="DL733">
            <v>135</v>
          </cell>
          <cell r="DM733">
            <v>133</v>
          </cell>
          <cell r="DN733">
            <v>121</v>
          </cell>
          <cell r="DO733">
            <v>140</v>
          </cell>
          <cell r="DP733">
            <v>125</v>
          </cell>
          <cell r="DQ733">
            <v>132</v>
          </cell>
          <cell r="DR733">
            <v>168</v>
          </cell>
          <cell r="DS733">
            <v>184</v>
          </cell>
          <cell r="DT733">
            <v>226</v>
          </cell>
          <cell r="DU733">
            <v>236</v>
          </cell>
          <cell r="DV733">
            <v>178</v>
          </cell>
          <cell r="DW733">
            <v>152</v>
          </cell>
          <cell r="DX733">
            <v>175</v>
          </cell>
          <cell r="DY733">
            <v>194</v>
          </cell>
          <cell r="DZ733">
            <v>166</v>
          </cell>
          <cell r="EA733">
            <v>101</v>
          </cell>
          <cell r="EB733">
            <v>29</v>
          </cell>
          <cell r="EC733">
            <v>8</v>
          </cell>
        </row>
        <row r="734">
          <cell r="B734">
            <v>301</v>
          </cell>
          <cell r="C734">
            <v>15100</v>
          </cell>
          <cell r="D734">
            <v>9</v>
          </cell>
          <cell r="G734" t="str">
            <v>　　(旧 350 月潟村)</v>
          </cell>
          <cell r="DF734" t="str">
            <v>-</v>
          </cell>
          <cell r="DI734">
            <v>79</v>
          </cell>
          <cell r="DJ734">
            <v>76</v>
          </cell>
          <cell r="DK734">
            <v>66</v>
          </cell>
          <cell r="DL734">
            <v>94</v>
          </cell>
          <cell r="DM734">
            <v>63</v>
          </cell>
          <cell r="DN734">
            <v>99</v>
          </cell>
          <cell r="DO734">
            <v>105</v>
          </cell>
          <cell r="DP734">
            <v>113</v>
          </cell>
          <cell r="DQ734">
            <v>103</v>
          </cell>
          <cell r="DR734">
            <v>104</v>
          </cell>
          <cell r="DS734">
            <v>117</v>
          </cell>
          <cell r="DT734">
            <v>142</v>
          </cell>
          <cell r="DU734">
            <v>147</v>
          </cell>
          <cell r="DV734">
            <v>123</v>
          </cell>
          <cell r="DW734">
            <v>93</v>
          </cell>
          <cell r="DX734">
            <v>108</v>
          </cell>
          <cell r="DY734">
            <v>93</v>
          </cell>
          <cell r="DZ734">
            <v>76</v>
          </cell>
          <cell r="EA734">
            <v>25</v>
          </cell>
          <cell r="EB734">
            <v>5</v>
          </cell>
          <cell r="EC734">
            <v>1</v>
          </cell>
        </row>
        <row r="735">
          <cell r="B735">
            <v>301</v>
          </cell>
          <cell r="C735">
            <v>15100</v>
          </cell>
          <cell r="D735">
            <v>9</v>
          </cell>
          <cell r="G735" t="str">
            <v>　　(旧 351 中之口村)</v>
          </cell>
          <cell r="DF735" t="str">
            <v>-</v>
          </cell>
          <cell r="DI735">
            <v>90</v>
          </cell>
          <cell r="DJ735">
            <v>100</v>
          </cell>
          <cell r="DK735">
            <v>120</v>
          </cell>
          <cell r="DL735">
            <v>132</v>
          </cell>
          <cell r="DM735">
            <v>125</v>
          </cell>
          <cell r="DN735">
            <v>125</v>
          </cell>
          <cell r="DO735">
            <v>113</v>
          </cell>
          <cell r="DP735">
            <v>161</v>
          </cell>
          <cell r="DQ735">
            <v>169</v>
          </cell>
          <cell r="DR735">
            <v>177</v>
          </cell>
          <cell r="DS735">
            <v>183</v>
          </cell>
          <cell r="DT735">
            <v>213</v>
          </cell>
          <cell r="DU735">
            <v>236</v>
          </cell>
          <cell r="DV735">
            <v>218</v>
          </cell>
          <cell r="DW735">
            <v>158</v>
          </cell>
          <cell r="DX735">
            <v>166</v>
          </cell>
          <cell r="DY735">
            <v>159</v>
          </cell>
          <cell r="DZ735">
            <v>136</v>
          </cell>
          <cell r="EA735">
            <v>47</v>
          </cell>
          <cell r="EB735">
            <v>15</v>
          </cell>
          <cell r="EC735">
            <v>1</v>
          </cell>
        </row>
        <row r="736">
          <cell r="B736">
            <v>301</v>
          </cell>
          <cell r="C736">
            <v>15101</v>
          </cell>
          <cell r="D736">
            <v>0</v>
          </cell>
          <cell r="G736" t="str">
            <v>新潟市 北区</v>
          </cell>
          <cell r="DF736">
            <v>192</v>
          </cell>
          <cell r="DI736">
            <v>1342</v>
          </cell>
          <cell r="DJ736">
            <v>1494</v>
          </cell>
          <cell r="DK736">
            <v>1596</v>
          </cell>
          <cell r="DL736">
            <v>2102</v>
          </cell>
          <cell r="DM736">
            <v>2012</v>
          </cell>
          <cell r="DN736">
            <v>1732</v>
          </cell>
          <cell r="DO736">
            <v>1919</v>
          </cell>
          <cell r="DP736">
            <v>2311</v>
          </cell>
          <cell r="DQ736">
            <v>2630</v>
          </cell>
          <cell r="DR736">
            <v>2362</v>
          </cell>
          <cell r="DS736">
            <v>2340</v>
          </cell>
          <cell r="DT736">
            <v>2413</v>
          </cell>
          <cell r="DU736">
            <v>3099</v>
          </cell>
          <cell r="DV736">
            <v>3377</v>
          </cell>
          <cell r="DW736">
            <v>2366</v>
          </cell>
          <cell r="DX736">
            <v>2060</v>
          </cell>
          <cell r="DY736">
            <v>1822</v>
          </cell>
          <cell r="DZ736">
            <v>1314</v>
          </cell>
          <cell r="EA736">
            <v>637</v>
          </cell>
          <cell r="EB736">
            <v>197</v>
          </cell>
          <cell r="EC736">
            <v>38</v>
          </cell>
        </row>
        <row r="737">
          <cell r="B737">
            <v>301</v>
          </cell>
          <cell r="C737">
            <v>15102</v>
          </cell>
          <cell r="D737">
            <v>0</v>
          </cell>
          <cell r="G737" t="str">
            <v>新潟市 東区</v>
          </cell>
          <cell r="DF737">
            <v>367</v>
          </cell>
          <cell r="DI737">
            <v>2628</v>
          </cell>
          <cell r="DJ737">
            <v>2826</v>
          </cell>
          <cell r="DK737">
            <v>2961</v>
          </cell>
          <cell r="DL737">
            <v>3230</v>
          </cell>
          <cell r="DM737">
            <v>3110</v>
          </cell>
          <cell r="DN737">
            <v>3517</v>
          </cell>
          <cell r="DO737">
            <v>4161</v>
          </cell>
          <cell r="DP737">
            <v>4702</v>
          </cell>
          <cell r="DQ737">
            <v>5419</v>
          </cell>
          <cell r="DR737">
            <v>4749</v>
          </cell>
          <cell r="DS737">
            <v>4182</v>
          </cell>
          <cell r="DT737">
            <v>4052</v>
          </cell>
          <cell r="DU737">
            <v>4991</v>
          </cell>
          <cell r="DV737">
            <v>5616</v>
          </cell>
          <cell r="DW737">
            <v>4488</v>
          </cell>
          <cell r="DX737">
            <v>3906</v>
          </cell>
          <cell r="DY737">
            <v>3184</v>
          </cell>
          <cell r="DZ737">
            <v>2145</v>
          </cell>
          <cell r="EA737">
            <v>995</v>
          </cell>
          <cell r="EB737">
            <v>316</v>
          </cell>
          <cell r="EC737">
            <v>31</v>
          </cell>
        </row>
        <row r="738">
          <cell r="B738">
            <v>301</v>
          </cell>
          <cell r="C738">
            <v>15103</v>
          </cell>
          <cell r="D738">
            <v>0</v>
          </cell>
          <cell r="G738" t="str">
            <v>新潟市 中央区</v>
          </cell>
          <cell r="DF738">
            <v>1112</v>
          </cell>
          <cell r="DI738">
            <v>3424</v>
          </cell>
          <cell r="DJ738">
            <v>3367</v>
          </cell>
          <cell r="DK738">
            <v>3382</v>
          </cell>
          <cell r="DL738">
            <v>4345</v>
          </cell>
          <cell r="DM738">
            <v>5331</v>
          </cell>
          <cell r="DN738">
            <v>5216</v>
          </cell>
          <cell r="DO738">
            <v>5626</v>
          </cell>
          <cell r="DP738">
            <v>6438</v>
          </cell>
          <cell r="DQ738">
            <v>7465</v>
          </cell>
          <cell r="DR738">
            <v>6606</v>
          </cell>
          <cell r="DS738">
            <v>5935</v>
          </cell>
          <cell r="DT738">
            <v>5334</v>
          </cell>
          <cell r="DU738">
            <v>5810</v>
          </cell>
          <cell r="DV738">
            <v>6873</v>
          </cell>
          <cell r="DW738">
            <v>5368</v>
          </cell>
          <cell r="DX738">
            <v>4865</v>
          </cell>
          <cell r="DY738">
            <v>4285</v>
          </cell>
          <cell r="DZ738">
            <v>3097</v>
          </cell>
          <cell r="EA738">
            <v>1599</v>
          </cell>
          <cell r="EB738">
            <v>487</v>
          </cell>
          <cell r="EC738">
            <v>81</v>
          </cell>
        </row>
        <row r="739">
          <cell r="B739">
            <v>301</v>
          </cell>
          <cell r="C739">
            <v>15104</v>
          </cell>
          <cell r="D739">
            <v>0</v>
          </cell>
          <cell r="G739" t="str">
            <v>新潟市 江南区</v>
          </cell>
          <cell r="DF739">
            <v>90</v>
          </cell>
          <cell r="DI739">
            <v>1385</v>
          </cell>
          <cell r="DJ739">
            <v>1524</v>
          </cell>
          <cell r="DK739">
            <v>1532</v>
          </cell>
          <cell r="DL739">
            <v>1519</v>
          </cell>
          <cell r="DM739">
            <v>1287</v>
          </cell>
          <cell r="DN739">
            <v>1666</v>
          </cell>
          <cell r="DO739">
            <v>1918</v>
          </cell>
          <cell r="DP739">
            <v>2424</v>
          </cell>
          <cell r="DQ739">
            <v>2589</v>
          </cell>
          <cell r="DR739">
            <v>2060</v>
          </cell>
          <cell r="DS739">
            <v>1936</v>
          </cell>
          <cell r="DT739">
            <v>2168</v>
          </cell>
          <cell r="DU739">
            <v>2611</v>
          </cell>
          <cell r="DV739">
            <v>2842</v>
          </cell>
          <cell r="DW739">
            <v>2132</v>
          </cell>
          <cell r="DX739">
            <v>1824</v>
          </cell>
          <cell r="DY739">
            <v>1670</v>
          </cell>
          <cell r="DZ739">
            <v>1282</v>
          </cell>
          <cell r="EA739">
            <v>725</v>
          </cell>
          <cell r="EB739">
            <v>260</v>
          </cell>
          <cell r="EC739">
            <v>55</v>
          </cell>
        </row>
        <row r="740">
          <cell r="B740">
            <v>301</v>
          </cell>
          <cell r="C740">
            <v>15105</v>
          </cell>
          <cell r="D740">
            <v>0</v>
          </cell>
          <cell r="G740" t="str">
            <v>新潟市 秋葉区</v>
          </cell>
          <cell r="DF740">
            <v>84</v>
          </cell>
          <cell r="DI740">
            <v>1371</v>
          </cell>
          <cell r="DJ740">
            <v>1671</v>
          </cell>
          <cell r="DK740">
            <v>1763</v>
          </cell>
          <cell r="DL740">
            <v>1699</v>
          </cell>
          <cell r="DM740">
            <v>1501</v>
          </cell>
          <cell r="DN740">
            <v>1686</v>
          </cell>
          <cell r="DO740">
            <v>2022</v>
          </cell>
          <cell r="DP740">
            <v>2493</v>
          </cell>
          <cell r="DQ740">
            <v>2805</v>
          </cell>
          <cell r="DR740">
            <v>2379</v>
          </cell>
          <cell r="DS740">
            <v>2360</v>
          </cell>
          <cell r="DT740">
            <v>2428</v>
          </cell>
          <cell r="DU740">
            <v>2989</v>
          </cell>
          <cell r="DV740">
            <v>3124</v>
          </cell>
          <cell r="DW740">
            <v>2445</v>
          </cell>
          <cell r="DX740">
            <v>2360</v>
          </cell>
          <cell r="DY740">
            <v>2159</v>
          </cell>
          <cell r="DZ740">
            <v>1716</v>
          </cell>
          <cell r="EA740">
            <v>824</v>
          </cell>
          <cell r="EB740">
            <v>237</v>
          </cell>
          <cell r="EC740">
            <v>38</v>
          </cell>
        </row>
        <row r="741">
          <cell r="B741">
            <v>301</v>
          </cell>
          <cell r="C741">
            <v>15106</v>
          </cell>
          <cell r="D741">
            <v>0</v>
          </cell>
          <cell r="G741" t="str">
            <v>新潟市 南区</v>
          </cell>
          <cell r="DF741">
            <v>59</v>
          </cell>
          <cell r="DI741">
            <v>901</v>
          </cell>
          <cell r="DJ741">
            <v>897</v>
          </cell>
          <cell r="DK741">
            <v>984</v>
          </cell>
          <cell r="DL741">
            <v>1022</v>
          </cell>
          <cell r="DM741">
            <v>970</v>
          </cell>
          <cell r="DN741">
            <v>1110</v>
          </cell>
          <cell r="DO741">
            <v>1203</v>
          </cell>
          <cell r="DP741">
            <v>1374</v>
          </cell>
          <cell r="DQ741">
            <v>1464</v>
          </cell>
          <cell r="DR741">
            <v>1372</v>
          </cell>
          <cell r="DS741">
            <v>1567</v>
          </cell>
          <cell r="DT741">
            <v>1675</v>
          </cell>
          <cell r="DU741">
            <v>1758</v>
          </cell>
          <cell r="DV741">
            <v>1739</v>
          </cell>
          <cell r="DW741">
            <v>1200</v>
          </cell>
          <cell r="DX741">
            <v>1342</v>
          </cell>
          <cell r="DY741">
            <v>1249</v>
          </cell>
          <cell r="DZ741">
            <v>1036</v>
          </cell>
          <cell r="EA741">
            <v>505</v>
          </cell>
          <cell r="EB741">
            <v>162</v>
          </cell>
          <cell r="EC741">
            <v>28</v>
          </cell>
        </row>
        <row r="742">
          <cell r="B742">
            <v>301</v>
          </cell>
          <cell r="C742">
            <v>15107</v>
          </cell>
          <cell r="D742">
            <v>0</v>
          </cell>
          <cell r="G742" t="str">
            <v>新潟市 西区</v>
          </cell>
          <cell r="DF742">
            <v>472</v>
          </cell>
          <cell r="DI742">
            <v>3134</v>
          </cell>
          <cell r="DJ742">
            <v>3370</v>
          </cell>
          <cell r="DK742">
            <v>3409</v>
          </cell>
          <cell r="DL742">
            <v>4215</v>
          </cell>
          <cell r="DM742">
            <v>4537</v>
          </cell>
          <cell r="DN742">
            <v>3809</v>
          </cell>
          <cell r="DO742">
            <v>4443</v>
          </cell>
          <cell r="DP742">
            <v>5312</v>
          </cell>
          <cell r="DQ742">
            <v>6033</v>
          </cell>
          <cell r="DR742">
            <v>5218</v>
          </cell>
          <cell r="DS742">
            <v>4943</v>
          </cell>
          <cell r="DT742">
            <v>4864</v>
          </cell>
          <cell r="DU742">
            <v>5834</v>
          </cell>
          <cell r="DV742">
            <v>6508</v>
          </cell>
          <cell r="DW742">
            <v>5135</v>
          </cell>
          <cell r="DX742">
            <v>4342</v>
          </cell>
          <cell r="DY742">
            <v>3867</v>
          </cell>
          <cell r="DZ742">
            <v>2792</v>
          </cell>
          <cell r="EA742">
            <v>1386</v>
          </cell>
          <cell r="EB742">
            <v>408</v>
          </cell>
          <cell r="EC742">
            <v>88</v>
          </cell>
        </row>
        <row r="743">
          <cell r="B743">
            <v>301</v>
          </cell>
          <cell r="C743">
            <v>15108</v>
          </cell>
          <cell r="D743">
            <v>0</v>
          </cell>
          <cell r="G743" t="str">
            <v>新潟市 西蒲区</v>
          </cell>
          <cell r="DF743">
            <v>23</v>
          </cell>
          <cell r="DI743">
            <v>914</v>
          </cell>
          <cell r="DJ743">
            <v>1036</v>
          </cell>
          <cell r="DK743">
            <v>1208</v>
          </cell>
          <cell r="DL743">
            <v>1368</v>
          </cell>
          <cell r="DM743">
            <v>1191</v>
          </cell>
          <cell r="DN743">
            <v>1243</v>
          </cell>
          <cell r="DO743">
            <v>1418</v>
          </cell>
          <cell r="DP743">
            <v>1603</v>
          </cell>
          <cell r="DQ743">
            <v>1877</v>
          </cell>
          <cell r="DR743">
            <v>1802</v>
          </cell>
          <cell r="DS743">
            <v>1897</v>
          </cell>
          <cell r="DT743">
            <v>2078</v>
          </cell>
          <cell r="DU743">
            <v>2393</v>
          </cell>
          <cell r="DV743">
            <v>2446</v>
          </cell>
          <cell r="DW743">
            <v>1770</v>
          </cell>
          <cell r="DX743">
            <v>1819</v>
          </cell>
          <cell r="DY743">
            <v>1816</v>
          </cell>
          <cell r="DZ743">
            <v>1385</v>
          </cell>
          <cell r="EA743">
            <v>732</v>
          </cell>
          <cell r="EB743">
            <v>219</v>
          </cell>
          <cell r="EC743">
            <v>41</v>
          </cell>
        </row>
        <row r="744">
          <cell r="B744">
            <v>301</v>
          </cell>
          <cell r="C744">
            <v>15202</v>
          </cell>
          <cell r="D744">
            <v>2</v>
          </cell>
          <cell r="G744" t="str">
            <v>長岡市</v>
          </cell>
          <cell r="DF744">
            <v>430</v>
          </cell>
          <cell r="DI744">
            <v>5123</v>
          </cell>
          <cell r="DJ744">
            <v>5629</v>
          </cell>
          <cell r="DK744">
            <v>6150</v>
          </cell>
          <cell r="DL744">
            <v>6309</v>
          </cell>
          <cell r="DM744">
            <v>5288</v>
          </cell>
          <cell r="DN744">
            <v>6090</v>
          </cell>
          <cell r="DO744">
            <v>7214</v>
          </cell>
          <cell r="DP744">
            <v>8520</v>
          </cell>
          <cell r="DQ744">
            <v>9533</v>
          </cell>
          <cell r="DR744">
            <v>8449</v>
          </cell>
          <cell r="DS744">
            <v>8141</v>
          </cell>
          <cell r="DT744">
            <v>8618</v>
          </cell>
          <cell r="DU744">
            <v>10380</v>
          </cell>
          <cell r="DV744">
            <v>10897</v>
          </cell>
          <cell r="DW744">
            <v>8578</v>
          </cell>
          <cell r="DX744">
            <v>8075</v>
          </cell>
          <cell r="DY744">
            <v>7628</v>
          </cell>
          <cell r="DZ744">
            <v>5899</v>
          </cell>
          <cell r="EA744">
            <v>2975</v>
          </cell>
          <cell r="EB744">
            <v>877</v>
          </cell>
          <cell r="EC744">
            <v>132</v>
          </cell>
        </row>
        <row r="745">
          <cell r="B745">
            <v>301</v>
          </cell>
          <cell r="C745">
            <v>15202</v>
          </cell>
          <cell r="D745">
            <v>9</v>
          </cell>
          <cell r="G745" t="str">
            <v>　　(旧 202 長岡市)</v>
          </cell>
          <cell r="DF745">
            <v>424</v>
          </cell>
          <cell r="DI745">
            <v>3908</v>
          </cell>
          <cell r="DJ745">
            <v>4130</v>
          </cell>
          <cell r="DK745">
            <v>4433</v>
          </cell>
          <cell r="DL745">
            <v>4602</v>
          </cell>
          <cell r="DM745">
            <v>3959</v>
          </cell>
          <cell r="DN745">
            <v>4542</v>
          </cell>
          <cell r="DO745">
            <v>5445</v>
          </cell>
          <cell r="DP745">
            <v>6346</v>
          </cell>
          <cell r="DQ745">
            <v>7163</v>
          </cell>
          <cell r="DR745">
            <v>6244</v>
          </cell>
          <cell r="DS745">
            <v>5682</v>
          </cell>
          <cell r="DT745">
            <v>5721</v>
          </cell>
          <cell r="DU745">
            <v>6876</v>
          </cell>
          <cell r="DV745">
            <v>7424</v>
          </cell>
          <cell r="DW745">
            <v>5774</v>
          </cell>
          <cell r="DX745">
            <v>5247</v>
          </cell>
          <cell r="DY745">
            <v>4636</v>
          </cell>
          <cell r="DZ745">
            <v>3537</v>
          </cell>
          <cell r="EA745">
            <v>1758</v>
          </cell>
          <cell r="EB745">
            <v>525</v>
          </cell>
          <cell r="EC745">
            <v>85</v>
          </cell>
        </row>
        <row r="746">
          <cell r="B746">
            <v>301</v>
          </cell>
          <cell r="C746">
            <v>15202</v>
          </cell>
          <cell r="D746">
            <v>9</v>
          </cell>
          <cell r="G746" t="str">
            <v>　　(旧 215 栃尾市)</v>
          </cell>
          <cell r="DF746" t="str">
            <v>-</v>
          </cell>
          <cell r="DI746">
            <v>234</v>
          </cell>
          <cell r="DJ746">
            <v>320</v>
          </cell>
          <cell r="DK746">
            <v>353</v>
          </cell>
          <cell r="DL746">
            <v>327</v>
          </cell>
          <cell r="DM746">
            <v>264</v>
          </cell>
          <cell r="DN746">
            <v>300</v>
          </cell>
          <cell r="DO746">
            <v>341</v>
          </cell>
          <cell r="DP746">
            <v>450</v>
          </cell>
          <cell r="DQ746">
            <v>526</v>
          </cell>
          <cell r="DR746">
            <v>460</v>
          </cell>
          <cell r="DS746">
            <v>492</v>
          </cell>
          <cell r="DT746">
            <v>671</v>
          </cell>
          <cell r="DU746">
            <v>847</v>
          </cell>
          <cell r="DV746">
            <v>850</v>
          </cell>
          <cell r="DW746">
            <v>753</v>
          </cell>
          <cell r="DX746">
            <v>730</v>
          </cell>
          <cell r="DY746">
            <v>702</v>
          </cell>
          <cell r="DZ746">
            <v>567</v>
          </cell>
          <cell r="EA746">
            <v>305</v>
          </cell>
          <cell r="EB746">
            <v>78</v>
          </cell>
          <cell r="EC746">
            <v>10</v>
          </cell>
        </row>
        <row r="747">
          <cell r="B747">
            <v>301</v>
          </cell>
          <cell r="C747">
            <v>15202</v>
          </cell>
          <cell r="D747">
            <v>9</v>
          </cell>
          <cell r="G747" t="str">
            <v>　　(旧 364 中之島町)</v>
          </cell>
          <cell r="DF747" t="str">
            <v>-</v>
          </cell>
          <cell r="DI747">
            <v>198</v>
          </cell>
          <cell r="DJ747">
            <v>218</v>
          </cell>
          <cell r="DK747">
            <v>268</v>
          </cell>
          <cell r="DL747">
            <v>257</v>
          </cell>
          <cell r="DM747">
            <v>240</v>
          </cell>
          <cell r="DN747">
            <v>257</v>
          </cell>
          <cell r="DO747">
            <v>289</v>
          </cell>
          <cell r="DP747">
            <v>335</v>
          </cell>
          <cell r="DQ747">
            <v>325</v>
          </cell>
          <cell r="DR747">
            <v>333</v>
          </cell>
          <cell r="DS747">
            <v>402</v>
          </cell>
          <cell r="DT747">
            <v>411</v>
          </cell>
          <cell r="DU747">
            <v>525</v>
          </cell>
          <cell r="DV747">
            <v>439</v>
          </cell>
          <cell r="DW747">
            <v>308</v>
          </cell>
          <cell r="DX747">
            <v>336</v>
          </cell>
          <cell r="DY747">
            <v>320</v>
          </cell>
          <cell r="DZ747">
            <v>282</v>
          </cell>
          <cell r="EA747">
            <v>109</v>
          </cell>
          <cell r="EB747">
            <v>30</v>
          </cell>
          <cell r="EC747" t="str">
            <v>-</v>
          </cell>
        </row>
        <row r="748">
          <cell r="B748">
            <v>301</v>
          </cell>
          <cell r="C748">
            <v>15202</v>
          </cell>
          <cell r="D748">
            <v>9</v>
          </cell>
          <cell r="G748" t="str">
            <v>　　(旧 401 越路町)</v>
          </cell>
          <cell r="DF748">
            <v>6</v>
          </cell>
          <cell r="DI748">
            <v>292</v>
          </cell>
          <cell r="DJ748">
            <v>329</v>
          </cell>
          <cell r="DK748">
            <v>305</v>
          </cell>
          <cell r="DL748">
            <v>288</v>
          </cell>
          <cell r="DM748">
            <v>240</v>
          </cell>
          <cell r="DN748">
            <v>300</v>
          </cell>
          <cell r="DO748">
            <v>350</v>
          </cell>
          <cell r="DP748">
            <v>477</v>
          </cell>
          <cell r="DQ748">
            <v>447</v>
          </cell>
          <cell r="DR748">
            <v>382</v>
          </cell>
          <cell r="DS748">
            <v>398</v>
          </cell>
          <cell r="DT748">
            <v>481</v>
          </cell>
          <cell r="DU748">
            <v>549</v>
          </cell>
          <cell r="DV748">
            <v>568</v>
          </cell>
          <cell r="DW748">
            <v>376</v>
          </cell>
          <cell r="DX748">
            <v>400</v>
          </cell>
          <cell r="DY748">
            <v>458</v>
          </cell>
          <cell r="DZ748">
            <v>320</v>
          </cell>
          <cell r="EA748">
            <v>183</v>
          </cell>
          <cell r="EB748">
            <v>52</v>
          </cell>
          <cell r="EC748">
            <v>9</v>
          </cell>
        </row>
        <row r="749">
          <cell r="B749">
            <v>301</v>
          </cell>
          <cell r="C749">
            <v>15202</v>
          </cell>
          <cell r="D749">
            <v>9</v>
          </cell>
          <cell r="G749" t="str">
            <v>　　(旧 402 三島町)</v>
          </cell>
          <cell r="DF749" t="str">
            <v>-</v>
          </cell>
          <cell r="DI749">
            <v>119</v>
          </cell>
          <cell r="DJ749">
            <v>132</v>
          </cell>
          <cell r="DK749">
            <v>173</v>
          </cell>
          <cell r="DL749">
            <v>166</v>
          </cell>
          <cell r="DM749">
            <v>110</v>
          </cell>
          <cell r="DN749">
            <v>146</v>
          </cell>
          <cell r="DO749">
            <v>154</v>
          </cell>
          <cell r="DP749">
            <v>208</v>
          </cell>
          <cell r="DQ749">
            <v>217</v>
          </cell>
          <cell r="DR749">
            <v>194</v>
          </cell>
          <cell r="DS749">
            <v>195</v>
          </cell>
          <cell r="DT749">
            <v>240</v>
          </cell>
          <cell r="DU749">
            <v>268</v>
          </cell>
          <cell r="DV749">
            <v>283</v>
          </cell>
          <cell r="DW749">
            <v>209</v>
          </cell>
          <cell r="DX749">
            <v>227</v>
          </cell>
          <cell r="DY749">
            <v>260</v>
          </cell>
          <cell r="DZ749">
            <v>220</v>
          </cell>
          <cell r="EA749">
            <v>120</v>
          </cell>
          <cell r="EB749">
            <v>46</v>
          </cell>
          <cell r="EC749">
            <v>6</v>
          </cell>
        </row>
        <row r="750">
          <cell r="B750">
            <v>301</v>
          </cell>
          <cell r="C750">
            <v>15202</v>
          </cell>
          <cell r="D750">
            <v>9</v>
          </cell>
          <cell r="G750" t="str">
            <v>　　(旧 403 与板町)</v>
          </cell>
          <cell r="DF750" t="str">
            <v>-</v>
          </cell>
          <cell r="DI750">
            <v>102</v>
          </cell>
          <cell r="DJ750">
            <v>117</v>
          </cell>
          <cell r="DK750">
            <v>149</v>
          </cell>
          <cell r="DL750">
            <v>142</v>
          </cell>
          <cell r="DM750">
            <v>102</v>
          </cell>
          <cell r="DN750">
            <v>125</v>
          </cell>
          <cell r="DO750">
            <v>125</v>
          </cell>
          <cell r="DP750">
            <v>169</v>
          </cell>
          <cell r="DQ750">
            <v>220</v>
          </cell>
          <cell r="DR750">
            <v>204</v>
          </cell>
          <cell r="DS750">
            <v>204</v>
          </cell>
          <cell r="DT750">
            <v>206</v>
          </cell>
          <cell r="DU750">
            <v>252</v>
          </cell>
          <cell r="DV750">
            <v>260</v>
          </cell>
          <cell r="DW750">
            <v>243</v>
          </cell>
          <cell r="DX750">
            <v>201</v>
          </cell>
          <cell r="DY750">
            <v>200</v>
          </cell>
          <cell r="DZ750">
            <v>172</v>
          </cell>
          <cell r="EA750">
            <v>83</v>
          </cell>
          <cell r="EB750">
            <v>24</v>
          </cell>
          <cell r="EC750">
            <v>4</v>
          </cell>
        </row>
        <row r="751">
          <cell r="B751">
            <v>301</v>
          </cell>
          <cell r="C751">
            <v>15202</v>
          </cell>
          <cell r="D751">
            <v>9</v>
          </cell>
          <cell r="G751" t="str">
            <v>　　(旧 404 和島村)</v>
          </cell>
          <cell r="DF751" t="str">
            <v>-</v>
          </cell>
          <cell r="DI751">
            <v>61</v>
          </cell>
          <cell r="DJ751">
            <v>73</v>
          </cell>
          <cell r="DK751">
            <v>86</v>
          </cell>
          <cell r="DL751">
            <v>75</v>
          </cell>
          <cell r="DM751">
            <v>74</v>
          </cell>
          <cell r="DN751">
            <v>72</v>
          </cell>
          <cell r="DO751">
            <v>86</v>
          </cell>
          <cell r="DP751">
            <v>110</v>
          </cell>
          <cell r="DQ751">
            <v>112</v>
          </cell>
          <cell r="DR751">
            <v>111</v>
          </cell>
          <cell r="DS751">
            <v>128</v>
          </cell>
          <cell r="DT751">
            <v>154</v>
          </cell>
          <cell r="DU751">
            <v>166</v>
          </cell>
          <cell r="DV751">
            <v>189</v>
          </cell>
          <cell r="DW751">
            <v>136</v>
          </cell>
          <cell r="DX751">
            <v>151</v>
          </cell>
          <cell r="DY751">
            <v>164</v>
          </cell>
          <cell r="DZ751">
            <v>116</v>
          </cell>
          <cell r="EA751">
            <v>55</v>
          </cell>
          <cell r="EB751">
            <v>19</v>
          </cell>
          <cell r="EC751">
            <v>1</v>
          </cell>
        </row>
        <row r="752">
          <cell r="B752">
            <v>301</v>
          </cell>
          <cell r="C752">
            <v>15202</v>
          </cell>
          <cell r="D752">
            <v>9</v>
          </cell>
          <cell r="G752" t="str">
            <v>　　(旧 406 寺泊町)</v>
          </cell>
          <cell r="DF752" t="str">
            <v>-</v>
          </cell>
          <cell r="DI752">
            <v>92</v>
          </cell>
          <cell r="DJ752">
            <v>137</v>
          </cell>
          <cell r="DK752">
            <v>184</v>
          </cell>
          <cell r="DL752">
            <v>218</v>
          </cell>
          <cell r="DM752">
            <v>161</v>
          </cell>
          <cell r="DN752">
            <v>188</v>
          </cell>
          <cell r="DO752">
            <v>194</v>
          </cell>
          <cell r="DP752">
            <v>215</v>
          </cell>
          <cell r="DQ752">
            <v>258</v>
          </cell>
          <cell r="DR752">
            <v>259</v>
          </cell>
          <cell r="DS752">
            <v>321</v>
          </cell>
          <cell r="DT752">
            <v>353</v>
          </cell>
          <cell r="DU752">
            <v>396</v>
          </cell>
          <cell r="DV752">
            <v>410</v>
          </cell>
          <cell r="DW752">
            <v>355</v>
          </cell>
          <cell r="DX752">
            <v>347</v>
          </cell>
          <cell r="DY752">
            <v>393</v>
          </cell>
          <cell r="DZ752">
            <v>295</v>
          </cell>
          <cell r="EA752">
            <v>139</v>
          </cell>
          <cell r="EB752">
            <v>49</v>
          </cell>
          <cell r="EC752">
            <v>9</v>
          </cell>
        </row>
        <row r="753">
          <cell r="B753">
            <v>301</v>
          </cell>
          <cell r="C753">
            <v>15202</v>
          </cell>
          <cell r="D753">
            <v>9</v>
          </cell>
          <cell r="G753" t="str">
            <v>　　(旧 421 山古志村)</v>
          </cell>
          <cell r="DF753" t="str">
            <v>-</v>
          </cell>
          <cell r="DI753">
            <v>6</v>
          </cell>
          <cell r="DJ753">
            <v>9</v>
          </cell>
          <cell r="DK753">
            <v>11</v>
          </cell>
          <cell r="DL753">
            <v>18</v>
          </cell>
          <cell r="DM753">
            <v>10</v>
          </cell>
          <cell r="DN753">
            <v>6</v>
          </cell>
          <cell r="DO753">
            <v>20</v>
          </cell>
          <cell r="DP753">
            <v>14</v>
          </cell>
          <cell r="DQ753">
            <v>19</v>
          </cell>
          <cell r="DR753">
            <v>13</v>
          </cell>
          <cell r="DS753">
            <v>25</v>
          </cell>
          <cell r="DT753">
            <v>30</v>
          </cell>
          <cell r="DU753">
            <v>56</v>
          </cell>
          <cell r="DV753">
            <v>54</v>
          </cell>
          <cell r="DW753">
            <v>37</v>
          </cell>
          <cell r="DX753">
            <v>57</v>
          </cell>
          <cell r="DY753">
            <v>42</v>
          </cell>
          <cell r="DZ753">
            <v>40</v>
          </cell>
          <cell r="EA753">
            <v>20</v>
          </cell>
          <cell r="EB753">
            <v>6</v>
          </cell>
          <cell r="EC753" t="str">
            <v>-</v>
          </cell>
        </row>
        <row r="754">
          <cell r="B754">
            <v>301</v>
          </cell>
          <cell r="C754">
            <v>15202</v>
          </cell>
          <cell r="D754">
            <v>9</v>
          </cell>
          <cell r="G754" t="str">
            <v>　　(旧 441 川口町)</v>
          </cell>
          <cell r="DF754" t="str">
            <v>-</v>
          </cell>
          <cell r="DI754">
            <v>53</v>
          </cell>
          <cell r="DJ754">
            <v>97</v>
          </cell>
          <cell r="DK754">
            <v>96</v>
          </cell>
          <cell r="DL754">
            <v>106</v>
          </cell>
          <cell r="DM754">
            <v>55</v>
          </cell>
          <cell r="DN754">
            <v>62</v>
          </cell>
          <cell r="DO754">
            <v>109</v>
          </cell>
          <cell r="DP754">
            <v>104</v>
          </cell>
          <cell r="DQ754">
            <v>124</v>
          </cell>
          <cell r="DR754">
            <v>102</v>
          </cell>
          <cell r="DS754">
            <v>126</v>
          </cell>
          <cell r="DT754">
            <v>166</v>
          </cell>
          <cell r="DU754">
            <v>225</v>
          </cell>
          <cell r="DV754">
            <v>178</v>
          </cell>
          <cell r="DW754">
            <v>152</v>
          </cell>
          <cell r="DX754">
            <v>154</v>
          </cell>
          <cell r="DY754">
            <v>175</v>
          </cell>
          <cell r="DZ754">
            <v>138</v>
          </cell>
          <cell r="EA754">
            <v>79</v>
          </cell>
          <cell r="EB754">
            <v>23</v>
          </cell>
          <cell r="EC754">
            <v>3</v>
          </cell>
        </row>
        <row r="755">
          <cell r="B755">
            <v>301</v>
          </cell>
          <cell r="C755">
            <v>15202</v>
          </cell>
          <cell r="D755">
            <v>9</v>
          </cell>
          <cell r="G755" t="str">
            <v>　　(旧 502 小国町)</v>
          </cell>
          <cell r="DF755" t="str">
            <v>-</v>
          </cell>
          <cell r="DI755">
            <v>58</v>
          </cell>
          <cell r="DJ755">
            <v>67</v>
          </cell>
          <cell r="DK755">
            <v>92</v>
          </cell>
          <cell r="DL755">
            <v>110</v>
          </cell>
          <cell r="DM755">
            <v>73</v>
          </cell>
          <cell r="DN755">
            <v>92</v>
          </cell>
          <cell r="DO755">
            <v>101</v>
          </cell>
          <cell r="DP755">
            <v>92</v>
          </cell>
          <cell r="DQ755">
            <v>122</v>
          </cell>
          <cell r="DR755">
            <v>147</v>
          </cell>
          <cell r="DS755">
            <v>168</v>
          </cell>
          <cell r="DT755">
            <v>185</v>
          </cell>
          <cell r="DU755">
            <v>220</v>
          </cell>
          <cell r="DV755">
            <v>242</v>
          </cell>
          <cell r="DW755">
            <v>235</v>
          </cell>
          <cell r="DX755">
            <v>225</v>
          </cell>
          <cell r="DY755">
            <v>278</v>
          </cell>
          <cell r="DZ755">
            <v>212</v>
          </cell>
          <cell r="EA755">
            <v>124</v>
          </cell>
          <cell r="EB755">
            <v>25</v>
          </cell>
          <cell r="EC755">
            <v>5</v>
          </cell>
        </row>
        <row r="756">
          <cell r="B756">
            <v>301</v>
          </cell>
          <cell r="C756">
            <v>15204</v>
          </cell>
          <cell r="D756">
            <v>2</v>
          </cell>
          <cell r="G756" t="str">
            <v>三条市</v>
          </cell>
          <cell r="DF756">
            <v>126</v>
          </cell>
          <cell r="DI756">
            <v>1720</v>
          </cell>
          <cell r="DJ756">
            <v>1950</v>
          </cell>
          <cell r="DK756">
            <v>2148</v>
          </cell>
          <cell r="DL756">
            <v>2285</v>
          </cell>
          <cell r="DM756">
            <v>1862</v>
          </cell>
          <cell r="DN756">
            <v>2107</v>
          </cell>
          <cell r="DO756">
            <v>2484</v>
          </cell>
          <cell r="DP756">
            <v>2997</v>
          </cell>
          <cell r="DQ756">
            <v>3398</v>
          </cell>
          <cell r="DR756">
            <v>3075</v>
          </cell>
          <cell r="DS756">
            <v>3127</v>
          </cell>
          <cell r="DT756">
            <v>3203</v>
          </cell>
          <cell r="DU756">
            <v>3880</v>
          </cell>
          <cell r="DV756">
            <v>4042</v>
          </cell>
          <cell r="DW756">
            <v>3322</v>
          </cell>
          <cell r="DX756">
            <v>3170</v>
          </cell>
          <cell r="DY756">
            <v>2843</v>
          </cell>
          <cell r="DZ756">
            <v>2038</v>
          </cell>
          <cell r="EA756">
            <v>994</v>
          </cell>
          <cell r="EB756">
            <v>284</v>
          </cell>
          <cell r="EC756">
            <v>43</v>
          </cell>
        </row>
        <row r="757">
          <cell r="B757">
            <v>301</v>
          </cell>
          <cell r="C757">
            <v>15204</v>
          </cell>
          <cell r="D757">
            <v>9</v>
          </cell>
          <cell r="G757" t="str">
            <v>　　(旧 204 三条市)</v>
          </cell>
          <cell r="DF757">
            <v>123</v>
          </cell>
          <cell r="DI757">
            <v>1372</v>
          </cell>
          <cell r="DJ757">
            <v>1576</v>
          </cell>
          <cell r="DK757">
            <v>1691</v>
          </cell>
          <cell r="DL757">
            <v>1840</v>
          </cell>
          <cell r="DM757">
            <v>1506</v>
          </cell>
          <cell r="DN757">
            <v>1684</v>
          </cell>
          <cell r="DO757">
            <v>2005</v>
          </cell>
          <cell r="DP757">
            <v>2449</v>
          </cell>
          <cell r="DQ757">
            <v>2769</v>
          </cell>
          <cell r="DR757">
            <v>2494</v>
          </cell>
          <cell r="DS757">
            <v>2553</v>
          </cell>
          <cell r="DT757">
            <v>2475</v>
          </cell>
          <cell r="DU757">
            <v>3002</v>
          </cell>
          <cell r="DV757">
            <v>3214</v>
          </cell>
          <cell r="DW757">
            <v>2676</v>
          </cell>
          <cell r="DX757">
            <v>2575</v>
          </cell>
          <cell r="DY757">
            <v>2167</v>
          </cell>
          <cell r="DZ757">
            <v>1485</v>
          </cell>
          <cell r="EA757">
            <v>691</v>
          </cell>
          <cell r="EB757">
            <v>202</v>
          </cell>
          <cell r="EC757">
            <v>31</v>
          </cell>
        </row>
        <row r="758">
          <cell r="B758">
            <v>301</v>
          </cell>
          <cell r="C758">
            <v>15204</v>
          </cell>
          <cell r="D758">
            <v>9</v>
          </cell>
          <cell r="G758" t="str">
            <v>　　(旧 362 下田村)</v>
          </cell>
          <cell r="DF758" t="str">
            <v>-</v>
          </cell>
          <cell r="DI758">
            <v>150</v>
          </cell>
          <cell r="DJ758">
            <v>169</v>
          </cell>
          <cell r="DK758">
            <v>207</v>
          </cell>
          <cell r="DL758">
            <v>214</v>
          </cell>
          <cell r="DM758">
            <v>140</v>
          </cell>
          <cell r="DN758">
            <v>181</v>
          </cell>
          <cell r="DO758">
            <v>200</v>
          </cell>
          <cell r="DP758">
            <v>237</v>
          </cell>
          <cell r="DQ758">
            <v>280</v>
          </cell>
          <cell r="DR758">
            <v>245</v>
          </cell>
          <cell r="DS758">
            <v>259</v>
          </cell>
          <cell r="DT758">
            <v>333</v>
          </cell>
          <cell r="DU758">
            <v>439</v>
          </cell>
          <cell r="DV758">
            <v>367</v>
          </cell>
          <cell r="DW758">
            <v>326</v>
          </cell>
          <cell r="DX758">
            <v>301</v>
          </cell>
          <cell r="DY758">
            <v>357</v>
          </cell>
          <cell r="DZ758">
            <v>295</v>
          </cell>
          <cell r="EA758">
            <v>167</v>
          </cell>
          <cell r="EB758">
            <v>48</v>
          </cell>
          <cell r="EC758">
            <v>8</v>
          </cell>
        </row>
        <row r="759">
          <cell r="B759">
            <v>301</v>
          </cell>
          <cell r="C759">
            <v>15204</v>
          </cell>
          <cell r="D759">
            <v>9</v>
          </cell>
          <cell r="G759" t="str">
            <v>　　(旧 363 栄町)</v>
          </cell>
          <cell r="DF759">
            <v>3</v>
          </cell>
          <cell r="DI759">
            <v>198</v>
          </cell>
          <cell r="DJ759">
            <v>205</v>
          </cell>
          <cell r="DK759">
            <v>250</v>
          </cell>
          <cell r="DL759">
            <v>231</v>
          </cell>
          <cell r="DM759">
            <v>216</v>
          </cell>
          <cell r="DN759">
            <v>242</v>
          </cell>
          <cell r="DO759">
            <v>279</v>
          </cell>
          <cell r="DP759">
            <v>311</v>
          </cell>
          <cell r="DQ759">
            <v>349</v>
          </cell>
          <cell r="DR759">
            <v>336</v>
          </cell>
          <cell r="DS759">
            <v>315</v>
          </cell>
          <cell r="DT759">
            <v>395</v>
          </cell>
          <cell r="DU759">
            <v>439</v>
          </cell>
          <cell r="DV759">
            <v>461</v>
          </cell>
          <cell r="DW759">
            <v>320</v>
          </cell>
          <cell r="DX759">
            <v>294</v>
          </cell>
          <cell r="DY759">
            <v>319</v>
          </cell>
          <cell r="DZ759">
            <v>258</v>
          </cell>
          <cell r="EA759">
            <v>136</v>
          </cell>
          <cell r="EB759">
            <v>34</v>
          </cell>
          <cell r="EC759">
            <v>4</v>
          </cell>
        </row>
        <row r="760">
          <cell r="B760">
            <v>301</v>
          </cell>
          <cell r="C760">
            <v>15205</v>
          </cell>
          <cell r="D760">
            <v>2</v>
          </cell>
          <cell r="G760" t="str">
            <v>柏崎市</v>
          </cell>
          <cell r="DF760">
            <v>82</v>
          </cell>
          <cell r="DI760">
            <v>1447</v>
          </cell>
          <cell r="DJ760">
            <v>1587</v>
          </cell>
          <cell r="DK760">
            <v>1792</v>
          </cell>
          <cell r="DL760">
            <v>1684</v>
          </cell>
          <cell r="DM760">
            <v>1370</v>
          </cell>
          <cell r="DN760">
            <v>1745</v>
          </cell>
          <cell r="DO760">
            <v>1952</v>
          </cell>
          <cell r="DP760">
            <v>2430</v>
          </cell>
          <cell r="DQ760">
            <v>2867</v>
          </cell>
          <cell r="DR760">
            <v>2506</v>
          </cell>
          <cell r="DS760">
            <v>2773</v>
          </cell>
          <cell r="DT760">
            <v>2912</v>
          </cell>
          <cell r="DU760">
            <v>3313</v>
          </cell>
          <cell r="DV760">
            <v>3546</v>
          </cell>
          <cell r="DW760">
            <v>2831</v>
          </cell>
          <cell r="DX760">
            <v>2768</v>
          </cell>
          <cell r="DY760">
            <v>2661</v>
          </cell>
          <cell r="DZ760">
            <v>2081</v>
          </cell>
          <cell r="EA760">
            <v>1065</v>
          </cell>
          <cell r="EB760">
            <v>289</v>
          </cell>
          <cell r="EC760">
            <v>34</v>
          </cell>
        </row>
        <row r="761">
          <cell r="B761">
            <v>301</v>
          </cell>
          <cell r="C761">
            <v>15205</v>
          </cell>
          <cell r="D761">
            <v>9</v>
          </cell>
          <cell r="G761" t="str">
            <v>　　(旧 205 柏崎市)</v>
          </cell>
          <cell r="DF761">
            <v>77</v>
          </cell>
          <cell r="DI761">
            <v>1378</v>
          </cell>
          <cell r="DJ761">
            <v>1500</v>
          </cell>
          <cell r="DK761">
            <v>1673</v>
          </cell>
          <cell r="DL761">
            <v>1583</v>
          </cell>
          <cell r="DM761">
            <v>1284</v>
          </cell>
          <cell r="DN761">
            <v>1650</v>
          </cell>
          <cell r="DO761">
            <v>1818</v>
          </cell>
          <cell r="DP761">
            <v>2294</v>
          </cell>
          <cell r="DQ761">
            <v>2698</v>
          </cell>
          <cell r="DR761">
            <v>2340</v>
          </cell>
          <cell r="DS761">
            <v>2573</v>
          </cell>
          <cell r="DT761">
            <v>2688</v>
          </cell>
          <cell r="DU761">
            <v>2999</v>
          </cell>
          <cell r="DV761">
            <v>3205</v>
          </cell>
          <cell r="DW761">
            <v>2558</v>
          </cell>
          <cell r="DX761">
            <v>2459</v>
          </cell>
          <cell r="DY761">
            <v>2350</v>
          </cell>
          <cell r="DZ761">
            <v>1785</v>
          </cell>
          <cell r="EA761">
            <v>925</v>
          </cell>
          <cell r="EB761">
            <v>250</v>
          </cell>
          <cell r="EC761">
            <v>30</v>
          </cell>
        </row>
        <row r="762">
          <cell r="B762">
            <v>301</v>
          </cell>
          <cell r="C762">
            <v>15205</v>
          </cell>
          <cell r="D762">
            <v>9</v>
          </cell>
          <cell r="G762" t="str">
            <v>　　(旧 501 高柳町)</v>
          </cell>
          <cell r="DF762" t="str">
            <v>-</v>
          </cell>
          <cell r="DI762">
            <v>3</v>
          </cell>
          <cell r="DJ762">
            <v>7</v>
          </cell>
          <cell r="DK762">
            <v>16</v>
          </cell>
          <cell r="DL762">
            <v>15</v>
          </cell>
          <cell r="DM762">
            <v>8</v>
          </cell>
          <cell r="DN762">
            <v>3</v>
          </cell>
          <cell r="DO762">
            <v>15</v>
          </cell>
          <cell r="DP762">
            <v>11</v>
          </cell>
          <cell r="DQ762">
            <v>19</v>
          </cell>
          <cell r="DR762">
            <v>27</v>
          </cell>
          <cell r="DS762">
            <v>38</v>
          </cell>
          <cell r="DT762">
            <v>47</v>
          </cell>
          <cell r="DU762">
            <v>63</v>
          </cell>
          <cell r="DV762">
            <v>78</v>
          </cell>
          <cell r="DW762">
            <v>78</v>
          </cell>
          <cell r="DX762">
            <v>88</v>
          </cell>
          <cell r="DY762">
            <v>109</v>
          </cell>
          <cell r="DZ762">
            <v>111</v>
          </cell>
          <cell r="EA762">
            <v>42</v>
          </cell>
          <cell r="EB762">
            <v>15</v>
          </cell>
          <cell r="EC762">
            <v>1</v>
          </cell>
        </row>
        <row r="763">
          <cell r="B763">
            <v>301</v>
          </cell>
          <cell r="C763">
            <v>15205</v>
          </cell>
          <cell r="D763">
            <v>9</v>
          </cell>
          <cell r="G763" t="str">
            <v>　　(旧 505 西山町)</v>
          </cell>
          <cell r="DF763">
            <v>5</v>
          </cell>
          <cell r="DI763">
            <v>66</v>
          </cell>
          <cell r="DJ763">
            <v>80</v>
          </cell>
          <cell r="DK763">
            <v>103</v>
          </cell>
          <cell r="DL763">
            <v>86</v>
          </cell>
          <cell r="DM763">
            <v>78</v>
          </cell>
          <cell r="DN763">
            <v>92</v>
          </cell>
          <cell r="DO763">
            <v>119</v>
          </cell>
          <cell r="DP763">
            <v>125</v>
          </cell>
          <cell r="DQ763">
            <v>150</v>
          </cell>
          <cell r="DR763">
            <v>139</v>
          </cell>
          <cell r="DS763">
            <v>162</v>
          </cell>
          <cell r="DT763">
            <v>177</v>
          </cell>
          <cell r="DU763">
            <v>251</v>
          </cell>
          <cell r="DV763">
            <v>263</v>
          </cell>
          <cell r="DW763">
            <v>195</v>
          </cell>
          <cell r="DX763">
            <v>221</v>
          </cell>
          <cell r="DY763">
            <v>202</v>
          </cell>
          <cell r="DZ763">
            <v>185</v>
          </cell>
          <cell r="EA763">
            <v>98</v>
          </cell>
          <cell r="EB763">
            <v>24</v>
          </cell>
          <cell r="EC763">
            <v>3</v>
          </cell>
        </row>
        <row r="764">
          <cell r="B764">
            <v>301</v>
          </cell>
          <cell r="C764">
            <v>15206</v>
          </cell>
          <cell r="D764">
            <v>2</v>
          </cell>
          <cell r="G764" t="str">
            <v>新発田市</v>
          </cell>
          <cell r="DF764">
            <v>151</v>
          </cell>
          <cell r="DI764">
            <v>1832</v>
          </cell>
          <cell r="DJ764">
            <v>1902</v>
          </cell>
          <cell r="DK764">
            <v>2077</v>
          </cell>
          <cell r="DL764">
            <v>2185</v>
          </cell>
          <cell r="DM764">
            <v>1978</v>
          </cell>
          <cell r="DN764">
            <v>2275</v>
          </cell>
          <cell r="DO764">
            <v>2508</v>
          </cell>
          <cell r="DP764">
            <v>2855</v>
          </cell>
          <cell r="DQ764">
            <v>3079</v>
          </cell>
          <cell r="DR764">
            <v>2900</v>
          </cell>
          <cell r="DS764">
            <v>3092</v>
          </cell>
          <cell r="DT764">
            <v>3395</v>
          </cell>
          <cell r="DU764">
            <v>3933</v>
          </cell>
          <cell r="DV764">
            <v>4017</v>
          </cell>
          <cell r="DW764">
            <v>3024</v>
          </cell>
          <cell r="DX764">
            <v>3184</v>
          </cell>
          <cell r="DY764">
            <v>3056</v>
          </cell>
          <cell r="DZ764">
            <v>2375</v>
          </cell>
          <cell r="EA764">
            <v>1053</v>
          </cell>
          <cell r="EB764">
            <v>274</v>
          </cell>
          <cell r="EC764">
            <v>54</v>
          </cell>
        </row>
        <row r="765">
          <cell r="B765">
            <v>301</v>
          </cell>
          <cell r="C765">
            <v>15206</v>
          </cell>
          <cell r="D765">
            <v>9</v>
          </cell>
          <cell r="G765" t="str">
            <v>　　(旧 206 新発田市)</v>
          </cell>
          <cell r="DF765">
            <v>140</v>
          </cell>
          <cell r="DI765">
            <v>1457</v>
          </cell>
          <cell r="DJ765">
            <v>1501</v>
          </cell>
          <cell r="DK765">
            <v>1616</v>
          </cell>
          <cell r="DL765">
            <v>1736</v>
          </cell>
          <cell r="DM765">
            <v>1517</v>
          </cell>
          <cell r="DN765">
            <v>1789</v>
          </cell>
          <cell r="DO765">
            <v>1974</v>
          </cell>
          <cell r="DP765">
            <v>2291</v>
          </cell>
          <cell r="DQ765">
            <v>2501</v>
          </cell>
          <cell r="DR765">
            <v>2326</v>
          </cell>
          <cell r="DS765">
            <v>2382</v>
          </cell>
          <cell r="DT765">
            <v>2543</v>
          </cell>
          <cell r="DU765">
            <v>2965</v>
          </cell>
          <cell r="DV765">
            <v>3144</v>
          </cell>
          <cell r="DW765">
            <v>2336</v>
          </cell>
          <cell r="DX765">
            <v>2437</v>
          </cell>
          <cell r="DY765">
            <v>2241</v>
          </cell>
          <cell r="DZ765">
            <v>1701</v>
          </cell>
          <cell r="EA765">
            <v>739</v>
          </cell>
          <cell r="EB765">
            <v>199</v>
          </cell>
          <cell r="EC765">
            <v>37</v>
          </cell>
        </row>
        <row r="766">
          <cell r="B766">
            <v>301</v>
          </cell>
          <cell r="C766">
            <v>15206</v>
          </cell>
          <cell r="D766">
            <v>9</v>
          </cell>
          <cell r="G766" t="str">
            <v>　　(旧 306 豊浦町)</v>
          </cell>
          <cell r="DF766">
            <v>8</v>
          </cell>
          <cell r="DI766">
            <v>156</v>
          </cell>
          <cell r="DJ766">
            <v>147</v>
          </cell>
          <cell r="DK766">
            <v>182</v>
          </cell>
          <cell r="DL766">
            <v>174</v>
          </cell>
          <cell r="DM766">
            <v>197</v>
          </cell>
          <cell r="DN766">
            <v>192</v>
          </cell>
          <cell r="DO766">
            <v>207</v>
          </cell>
          <cell r="DP766">
            <v>240</v>
          </cell>
          <cell r="DQ766">
            <v>221</v>
          </cell>
          <cell r="DR766">
            <v>237</v>
          </cell>
          <cell r="DS766">
            <v>297</v>
          </cell>
          <cell r="DT766">
            <v>317</v>
          </cell>
          <cell r="DU766">
            <v>329</v>
          </cell>
          <cell r="DV766">
            <v>363</v>
          </cell>
          <cell r="DW766">
            <v>269</v>
          </cell>
          <cell r="DX766">
            <v>330</v>
          </cell>
          <cell r="DY766">
            <v>353</v>
          </cell>
          <cell r="DZ766">
            <v>329</v>
          </cell>
          <cell r="EA766">
            <v>149</v>
          </cell>
          <cell r="EB766">
            <v>41</v>
          </cell>
          <cell r="EC766">
            <v>11</v>
          </cell>
        </row>
        <row r="767">
          <cell r="B767">
            <v>301</v>
          </cell>
          <cell r="C767">
            <v>15206</v>
          </cell>
          <cell r="D767">
            <v>9</v>
          </cell>
          <cell r="G767" t="str">
            <v>　　(旧 308 加治川村)</v>
          </cell>
          <cell r="DF767">
            <v>1</v>
          </cell>
          <cell r="DI767">
            <v>88</v>
          </cell>
          <cell r="DJ767">
            <v>115</v>
          </cell>
          <cell r="DK767">
            <v>120</v>
          </cell>
          <cell r="DL767">
            <v>120</v>
          </cell>
          <cell r="DM767">
            <v>123</v>
          </cell>
          <cell r="DN767">
            <v>133</v>
          </cell>
          <cell r="DO767">
            <v>145</v>
          </cell>
          <cell r="DP767">
            <v>144</v>
          </cell>
          <cell r="DQ767">
            <v>167</v>
          </cell>
          <cell r="DR767">
            <v>158</v>
          </cell>
          <cell r="DS767">
            <v>184</v>
          </cell>
          <cell r="DT767">
            <v>269</v>
          </cell>
          <cell r="DU767">
            <v>312</v>
          </cell>
          <cell r="DV767">
            <v>246</v>
          </cell>
          <cell r="DW767">
            <v>197</v>
          </cell>
          <cell r="DX767">
            <v>192</v>
          </cell>
          <cell r="DY767">
            <v>221</v>
          </cell>
          <cell r="DZ767">
            <v>161</v>
          </cell>
          <cell r="EA767">
            <v>67</v>
          </cell>
          <cell r="EB767">
            <v>14</v>
          </cell>
          <cell r="EC767">
            <v>1</v>
          </cell>
        </row>
        <row r="768">
          <cell r="B768">
            <v>301</v>
          </cell>
          <cell r="C768">
            <v>15206</v>
          </cell>
          <cell r="D768">
            <v>9</v>
          </cell>
          <cell r="G768" t="str">
            <v>　　(旧 309 紫雲寺町)</v>
          </cell>
          <cell r="DF768">
            <v>2</v>
          </cell>
          <cell r="DI768">
            <v>131</v>
          </cell>
          <cell r="DJ768">
            <v>139</v>
          </cell>
          <cell r="DK768">
            <v>159</v>
          </cell>
          <cell r="DL768">
            <v>155</v>
          </cell>
          <cell r="DM768">
            <v>141</v>
          </cell>
          <cell r="DN768">
            <v>161</v>
          </cell>
          <cell r="DO768">
            <v>182</v>
          </cell>
          <cell r="DP768">
            <v>180</v>
          </cell>
          <cell r="DQ768">
            <v>190</v>
          </cell>
          <cell r="DR768">
            <v>179</v>
          </cell>
          <cell r="DS768">
            <v>229</v>
          </cell>
          <cell r="DT768">
            <v>266</v>
          </cell>
          <cell r="DU768">
            <v>327</v>
          </cell>
          <cell r="DV768">
            <v>264</v>
          </cell>
          <cell r="DW768">
            <v>222</v>
          </cell>
          <cell r="DX768">
            <v>225</v>
          </cell>
          <cell r="DY768">
            <v>241</v>
          </cell>
          <cell r="DZ768">
            <v>184</v>
          </cell>
          <cell r="EA768">
            <v>98</v>
          </cell>
          <cell r="EB768">
            <v>20</v>
          </cell>
          <cell r="EC768">
            <v>5</v>
          </cell>
        </row>
        <row r="769">
          <cell r="B769">
            <v>301</v>
          </cell>
          <cell r="C769">
            <v>15208</v>
          </cell>
          <cell r="D769">
            <v>2</v>
          </cell>
          <cell r="G769" t="str">
            <v>小千谷市</v>
          </cell>
          <cell r="DF769">
            <v>25</v>
          </cell>
          <cell r="DI769">
            <v>620</v>
          </cell>
          <cell r="DJ769">
            <v>767</v>
          </cell>
          <cell r="DK769">
            <v>755</v>
          </cell>
          <cell r="DL769">
            <v>757</v>
          </cell>
          <cell r="DM769">
            <v>528</v>
          </cell>
          <cell r="DN769">
            <v>706</v>
          </cell>
          <cell r="DO769">
            <v>866</v>
          </cell>
          <cell r="DP769">
            <v>1030</v>
          </cell>
          <cell r="DQ769">
            <v>1149</v>
          </cell>
          <cell r="DR769">
            <v>1078</v>
          </cell>
          <cell r="DS769">
            <v>981</v>
          </cell>
          <cell r="DT769">
            <v>1205</v>
          </cell>
          <cell r="DU769">
            <v>1418</v>
          </cell>
          <cell r="DV769">
            <v>1554</v>
          </cell>
          <cell r="DW769">
            <v>1260</v>
          </cell>
          <cell r="DX769">
            <v>1178</v>
          </cell>
          <cell r="DY769">
            <v>1077</v>
          </cell>
          <cell r="DZ769">
            <v>875</v>
          </cell>
          <cell r="EA769">
            <v>491</v>
          </cell>
          <cell r="EB769">
            <v>152</v>
          </cell>
          <cell r="EC769">
            <v>28</v>
          </cell>
        </row>
        <row r="770">
          <cell r="B770">
            <v>301</v>
          </cell>
          <cell r="C770">
            <v>15209</v>
          </cell>
          <cell r="D770">
            <v>2</v>
          </cell>
          <cell r="G770" t="str">
            <v>加茂市</v>
          </cell>
          <cell r="DF770">
            <v>21</v>
          </cell>
          <cell r="DI770">
            <v>388</v>
          </cell>
          <cell r="DJ770">
            <v>450</v>
          </cell>
          <cell r="DK770">
            <v>538</v>
          </cell>
          <cell r="DL770">
            <v>655</v>
          </cell>
          <cell r="DM770">
            <v>513</v>
          </cell>
          <cell r="DN770">
            <v>510</v>
          </cell>
          <cell r="DO770">
            <v>608</v>
          </cell>
          <cell r="DP770">
            <v>752</v>
          </cell>
          <cell r="DQ770">
            <v>837</v>
          </cell>
          <cell r="DR770">
            <v>830</v>
          </cell>
          <cell r="DS770">
            <v>874</v>
          </cell>
          <cell r="DT770">
            <v>1016</v>
          </cell>
          <cell r="DU770">
            <v>1139</v>
          </cell>
          <cell r="DV770">
            <v>1267</v>
          </cell>
          <cell r="DW770">
            <v>1014</v>
          </cell>
          <cell r="DX770">
            <v>1004</v>
          </cell>
          <cell r="DY770">
            <v>901</v>
          </cell>
          <cell r="DZ770">
            <v>668</v>
          </cell>
          <cell r="EA770">
            <v>329</v>
          </cell>
          <cell r="EB770">
            <v>74</v>
          </cell>
          <cell r="EC770">
            <v>17</v>
          </cell>
        </row>
        <row r="771">
          <cell r="B771">
            <v>301</v>
          </cell>
          <cell r="C771">
            <v>15210</v>
          </cell>
          <cell r="D771">
            <v>2</v>
          </cell>
          <cell r="G771" t="str">
            <v>十日町市</v>
          </cell>
          <cell r="DF771">
            <v>26</v>
          </cell>
          <cell r="DI771">
            <v>882</v>
          </cell>
          <cell r="DJ771">
            <v>1019</v>
          </cell>
          <cell r="DK771">
            <v>1131</v>
          </cell>
          <cell r="DL771">
            <v>1076</v>
          </cell>
          <cell r="DM771">
            <v>694</v>
          </cell>
          <cell r="DN771">
            <v>923</v>
          </cell>
          <cell r="DO771">
            <v>1153</v>
          </cell>
          <cell r="DP771">
            <v>1405</v>
          </cell>
          <cell r="DQ771">
            <v>1604</v>
          </cell>
          <cell r="DR771">
            <v>1494</v>
          </cell>
          <cell r="DS771">
            <v>1568</v>
          </cell>
          <cell r="DT771">
            <v>1747</v>
          </cell>
          <cell r="DU771">
            <v>2362</v>
          </cell>
          <cell r="DV771">
            <v>2377</v>
          </cell>
          <cell r="DW771">
            <v>1991</v>
          </cell>
          <cell r="DX771">
            <v>2076</v>
          </cell>
          <cell r="DY771">
            <v>1896</v>
          </cell>
          <cell r="DZ771">
            <v>1618</v>
          </cell>
          <cell r="EA771">
            <v>908</v>
          </cell>
          <cell r="EB771">
            <v>264</v>
          </cell>
          <cell r="EC771">
            <v>61</v>
          </cell>
        </row>
        <row r="772">
          <cell r="B772">
            <v>301</v>
          </cell>
          <cell r="C772">
            <v>15210</v>
          </cell>
          <cell r="D772">
            <v>9</v>
          </cell>
          <cell r="G772" t="str">
            <v>　　(旧 210 十日町市)</v>
          </cell>
          <cell r="DF772">
            <v>26</v>
          </cell>
          <cell r="DI772">
            <v>656</v>
          </cell>
          <cell r="DJ772">
            <v>715</v>
          </cell>
          <cell r="DK772">
            <v>798</v>
          </cell>
          <cell r="DL772">
            <v>784</v>
          </cell>
          <cell r="DM772">
            <v>516</v>
          </cell>
          <cell r="DN772">
            <v>714</v>
          </cell>
          <cell r="DO772">
            <v>873</v>
          </cell>
          <cell r="DP772">
            <v>1007</v>
          </cell>
          <cell r="DQ772">
            <v>1183</v>
          </cell>
          <cell r="DR772">
            <v>1046</v>
          </cell>
          <cell r="DS772">
            <v>1120</v>
          </cell>
          <cell r="DT772">
            <v>1167</v>
          </cell>
          <cell r="DU772">
            <v>1604</v>
          </cell>
          <cell r="DV772">
            <v>1657</v>
          </cell>
          <cell r="DW772">
            <v>1372</v>
          </cell>
          <cell r="DX772">
            <v>1336</v>
          </cell>
          <cell r="DY772">
            <v>1140</v>
          </cell>
          <cell r="DZ772">
            <v>975</v>
          </cell>
          <cell r="EA772">
            <v>520</v>
          </cell>
          <cell r="EB772">
            <v>137</v>
          </cell>
          <cell r="EC772">
            <v>32</v>
          </cell>
        </row>
        <row r="773">
          <cell r="B773">
            <v>301</v>
          </cell>
          <cell r="C773">
            <v>15210</v>
          </cell>
          <cell r="D773">
            <v>9</v>
          </cell>
          <cell r="G773" t="str">
            <v>　　(旧 481 川西町)</v>
          </cell>
          <cell r="DF773" t="str">
            <v>-</v>
          </cell>
          <cell r="DI773">
            <v>96</v>
          </cell>
          <cell r="DJ773">
            <v>115</v>
          </cell>
          <cell r="DK773">
            <v>150</v>
          </cell>
          <cell r="DL773">
            <v>115</v>
          </cell>
          <cell r="DM773">
            <v>84</v>
          </cell>
          <cell r="DN773">
            <v>75</v>
          </cell>
          <cell r="DO773">
            <v>110</v>
          </cell>
          <cell r="DP773">
            <v>171</v>
          </cell>
          <cell r="DQ773">
            <v>187</v>
          </cell>
          <cell r="DR773">
            <v>189</v>
          </cell>
          <cell r="DS773">
            <v>176</v>
          </cell>
          <cell r="DT773">
            <v>220</v>
          </cell>
          <cell r="DU773">
            <v>289</v>
          </cell>
          <cell r="DV773">
            <v>307</v>
          </cell>
          <cell r="DW773">
            <v>238</v>
          </cell>
          <cell r="DX773">
            <v>260</v>
          </cell>
          <cell r="DY773">
            <v>236</v>
          </cell>
          <cell r="DZ773">
            <v>198</v>
          </cell>
          <cell r="EA773">
            <v>102</v>
          </cell>
          <cell r="EB773">
            <v>30</v>
          </cell>
          <cell r="EC773">
            <v>6</v>
          </cell>
        </row>
        <row r="774">
          <cell r="B774">
            <v>301</v>
          </cell>
          <cell r="C774">
            <v>15210</v>
          </cell>
          <cell r="D774">
            <v>9</v>
          </cell>
          <cell r="G774" t="str">
            <v>　　(旧 483 中里村)</v>
          </cell>
          <cell r="DF774" t="str">
            <v>-</v>
          </cell>
          <cell r="DI774">
            <v>75</v>
          </cell>
          <cell r="DJ774">
            <v>101</v>
          </cell>
          <cell r="DK774">
            <v>91</v>
          </cell>
          <cell r="DL774">
            <v>99</v>
          </cell>
          <cell r="DM774">
            <v>60</v>
          </cell>
          <cell r="DN774">
            <v>84</v>
          </cell>
          <cell r="DO774">
            <v>89</v>
          </cell>
          <cell r="DP774">
            <v>118</v>
          </cell>
          <cell r="DQ774">
            <v>132</v>
          </cell>
          <cell r="DR774">
            <v>146</v>
          </cell>
          <cell r="DS774">
            <v>146</v>
          </cell>
          <cell r="DT774">
            <v>180</v>
          </cell>
          <cell r="DU774">
            <v>222</v>
          </cell>
          <cell r="DV774">
            <v>180</v>
          </cell>
          <cell r="DW774">
            <v>161</v>
          </cell>
          <cell r="DX774">
            <v>196</v>
          </cell>
          <cell r="DY774">
            <v>211</v>
          </cell>
          <cell r="DZ774">
            <v>183</v>
          </cell>
          <cell r="EA774">
            <v>139</v>
          </cell>
          <cell r="EB774">
            <v>44</v>
          </cell>
          <cell r="EC774">
            <v>9</v>
          </cell>
        </row>
        <row r="775">
          <cell r="B775">
            <v>301</v>
          </cell>
          <cell r="C775">
            <v>15210</v>
          </cell>
          <cell r="D775">
            <v>9</v>
          </cell>
          <cell r="G775" t="str">
            <v>　　(旧 523 松代町)</v>
          </cell>
          <cell r="DF775" t="str">
            <v>-</v>
          </cell>
          <cell r="DI775">
            <v>36</v>
          </cell>
          <cell r="DJ775">
            <v>66</v>
          </cell>
          <cell r="DK775">
            <v>60</v>
          </cell>
          <cell r="DL775">
            <v>37</v>
          </cell>
          <cell r="DM775">
            <v>27</v>
          </cell>
          <cell r="DN775">
            <v>32</v>
          </cell>
          <cell r="DO775">
            <v>59</v>
          </cell>
          <cell r="DP775">
            <v>69</v>
          </cell>
          <cell r="DQ775">
            <v>70</v>
          </cell>
          <cell r="DR775">
            <v>65</v>
          </cell>
          <cell r="DS775">
            <v>69</v>
          </cell>
          <cell r="DT775">
            <v>113</v>
          </cell>
          <cell r="DU775">
            <v>138</v>
          </cell>
          <cell r="DV775">
            <v>139</v>
          </cell>
          <cell r="DW775">
            <v>146</v>
          </cell>
          <cell r="DX775">
            <v>157</v>
          </cell>
          <cell r="DY775">
            <v>186</v>
          </cell>
          <cell r="DZ775">
            <v>136</v>
          </cell>
          <cell r="EA775">
            <v>79</v>
          </cell>
          <cell r="EB775">
            <v>25</v>
          </cell>
          <cell r="EC775">
            <v>7</v>
          </cell>
        </row>
        <row r="776">
          <cell r="B776">
            <v>301</v>
          </cell>
          <cell r="C776">
            <v>15210</v>
          </cell>
          <cell r="D776">
            <v>9</v>
          </cell>
          <cell r="G776" t="str">
            <v>　　(旧 524 松之山町)</v>
          </cell>
          <cell r="DF776" t="str">
            <v>-</v>
          </cell>
          <cell r="DI776">
            <v>19</v>
          </cell>
          <cell r="DJ776">
            <v>22</v>
          </cell>
          <cell r="DK776">
            <v>32</v>
          </cell>
          <cell r="DL776">
            <v>41</v>
          </cell>
          <cell r="DM776">
            <v>7</v>
          </cell>
          <cell r="DN776">
            <v>18</v>
          </cell>
          <cell r="DO776">
            <v>22</v>
          </cell>
          <cell r="DP776">
            <v>40</v>
          </cell>
          <cell r="DQ776">
            <v>32</v>
          </cell>
          <cell r="DR776">
            <v>48</v>
          </cell>
          <cell r="DS776">
            <v>57</v>
          </cell>
          <cell r="DT776">
            <v>67</v>
          </cell>
          <cell r="DU776">
            <v>109</v>
          </cell>
          <cell r="DV776">
            <v>94</v>
          </cell>
          <cell r="DW776">
            <v>74</v>
          </cell>
          <cell r="DX776">
            <v>127</v>
          </cell>
          <cell r="DY776">
            <v>123</v>
          </cell>
          <cell r="DZ776">
            <v>126</v>
          </cell>
          <cell r="EA776">
            <v>68</v>
          </cell>
          <cell r="EB776">
            <v>28</v>
          </cell>
          <cell r="EC776">
            <v>7</v>
          </cell>
        </row>
        <row r="777">
          <cell r="B777">
            <v>301</v>
          </cell>
          <cell r="C777">
            <v>15211</v>
          </cell>
          <cell r="D777">
            <v>2</v>
          </cell>
          <cell r="G777" t="str">
            <v>見附市</v>
          </cell>
          <cell r="DF777">
            <v>19</v>
          </cell>
          <cell r="DI777">
            <v>741</v>
          </cell>
          <cell r="DJ777">
            <v>797</v>
          </cell>
          <cell r="DK777">
            <v>852</v>
          </cell>
          <cell r="DL777">
            <v>902</v>
          </cell>
          <cell r="DM777">
            <v>776</v>
          </cell>
          <cell r="DN777">
            <v>882</v>
          </cell>
          <cell r="DO777">
            <v>1052</v>
          </cell>
          <cell r="DP777">
            <v>1206</v>
          </cell>
          <cell r="DQ777">
            <v>1405</v>
          </cell>
          <cell r="DR777">
            <v>1249</v>
          </cell>
          <cell r="DS777">
            <v>1271</v>
          </cell>
          <cell r="DT777">
            <v>1431</v>
          </cell>
          <cell r="DU777">
            <v>1538</v>
          </cell>
          <cell r="DV777">
            <v>1677</v>
          </cell>
          <cell r="DW777">
            <v>1355</v>
          </cell>
          <cell r="DX777">
            <v>1316</v>
          </cell>
          <cell r="DY777">
            <v>1113</v>
          </cell>
          <cell r="DZ777">
            <v>843</v>
          </cell>
          <cell r="EA777">
            <v>422</v>
          </cell>
          <cell r="EB777">
            <v>109</v>
          </cell>
          <cell r="EC777">
            <v>16</v>
          </cell>
        </row>
        <row r="778">
          <cell r="B778">
            <v>301</v>
          </cell>
          <cell r="C778">
            <v>15212</v>
          </cell>
          <cell r="D778">
            <v>2</v>
          </cell>
          <cell r="G778" t="str">
            <v>村上市</v>
          </cell>
          <cell r="DF778">
            <v>40</v>
          </cell>
          <cell r="DI778">
            <v>927</v>
          </cell>
          <cell r="DJ778">
            <v>1018</v>
          </cell>
          <cell r="DK778">
            <v>1249</v>
          </cell>
          <cell r="DL778">
            <v>1384</v>
          </cell>
          <cell r="DM778">
            <v>1030</v>
          </cell>
          <cell r="DN778">
            <v>1026</v>
          </cell>
          <cell r="DO778">
            <v>1222</v>
          </cell>
          <cell r="DP778">
            <v>1584</v>
          </cell>
          <cell r="DQ778">
            <v>1775</v>
          </cell>
          <cell r="DR778">
            <v>1838</v>
          </cell>
          <cell r="DS778">
            <v>1822</v>
          </cell>
          <cell r="DT778">
            <v>2064</v>
          </cell>
          <cell r="DU778">
            <v>2633</v>
          </cell>
          <cell r="DV778">
            <v>2822</v>
          </cell>
          <cell r="DW778">
            <v>2380</v>
          </cell>
          <cell r="DX778">
            <v>2407</v>
          </cell>
          <cell r="DY778">
            <v>2428</v>
          </cell>
          <cell r="DZ778">
            <v>1749</v>
          </cell>
          <cell r="EA778">
            <v>916</v>
          </cell>
          <cell r="EB778">
            <v>265</v>
          </cell>
          <cell r="EC778">
            <v>39</v>
          </cell>
        </row>
        <row r="779">
          <cell r="B779">
            <v>301</v>
          </cell>
          <cell r="C779">
            <v>15212</v>
          </cell>
          <cell r="D779">
            <v>9</v>
          </cell>
          <cell r="G779" t="str">
            <v>　　(旧 212 村上市)</v>
          </cell>
          <cell r="DF779">
            <v>37</v>
          </cell>
          <cell r="DI779">
            <v>429</v>
          </cell>
          <cell r="DJ779">
            <v>482</v>
          </cell>
          <cell r="DK779">
            <v>582</v>
          </cell>
          <cell r="DL779">
            <v>634</v>
          </cell>
          <cell r="DM779">
            <v>544</v>
          </cell>
          <cell r="DN779">
            <v>481</v>
          </cell>
          <cell r="DO779">
            <v>591</v>
          </cell>
          <cell r="DP779">
            <v>761</v>
          </cell>
          <cell r="DQ779">
            <v>860</v>
          </cell>
          <cell r="DR779">
            <v>871</v>
          </cell>
          <cell r="DS779">
            <v>797</v>
          </cell>
          <cell r="DT779">
            <v>837</v>
          </cell>
          <cell r="DU779">
            <v>1106</v>
          </cell>
          <cell r="DV779">
            <v>1309</v>
          </cell>
          <cell r="DW779">
            <v>1125</v>
          </cell>
          <cell r="DX779">
            <v>1052</v>
          </cell>
          <cell r="DY779">
            <v>967</v>
          </cell>
          <cell r="DZ779">
            <v>631</v>
          </cell>
          <cell r="EA779">
            <v>346</v>
          </cell>
          <cell r="EB779">
            <v>91</v>
          </cell>
          <cell r="EC779">
            <v>11</v>
          </cell>
        </row>
        <row r="780">
          <cell r="B780">
            <v>301</v>
          </cell>
          <cell r="C780">
            <v>15212</v>
          </cell>
          <cell r="D780">
            <v>9</v>
          </cell>
          <cell r="G780" t="str">
            <v>　　(旧 582 荒川町)</v>
          </cell>
          <cell r="DF780" t="str">
            <v>-</v>
          </cell>
          <cell r="DI780">
            <v>180</v>
          </cell>
          <cell r="DJ780">
            <v>175</v>
          </cell>
          <cell r="DK780">
            <v>217</v>
          </cell>
          <cell r="DL780">
            <v>263</v>
          </cell>
          <cell r="DM780">
            <v>161</v>
          </cell>
          <cell r="DN780">
            <v>194</v>
          </cell>
          <cell r="DO780">
            <v>239</v>
          </cell>
          <cell r="DP780">
            <v>294</v>
          </cell>
          <cell r="DQ780">
            <v>310</v>
          </cell>
          <cell r="DR780">
            <v>283</v>
          </cell>
          <cell r="DS780">
            <v>321</v>
          </cell>
          <cell r="DT780">
            <v>384</v>
          </cell>
          <cell r="DU780">
            <v>471</v>
          </cell>
          <cell r="DV780">
            <v>425</v>
          </cell>
          <cell r="DW780">
            <v>335</v>
          </cell>
          <cell r="DX780">
            <v>343</v>
          </cell>
          <cell r="DY780">
            <v>347</v>
          </cell>
          <cell r="DZ780">
            <v>241</v>
          </cell>
          <cell r="EA780">
            <v>119</v>
          </cell>
          <cell r="EB780">
            <v>35</v>
          </cell>
          <cell r="EC780">
            <v>4</v>
          </cell>
        </row>
        <row r="781">
          <cell r="B781">
            <v>301</v>
          </cell>
          <cell r="C781">
            <v>15212</v>
          </cell>
          <cell r="D781">
            <v>9</v>
          </cell>
          <cell r="G781" t="str">
            <v>　　(旧 583 神林村)</v>
          </cell>
          <cell r="DF781">
            <v>3</v>
          </cell>
          <cell r="DI781">
            <v>139</v>
          </cell>
          <cell r="DJ781">
            <v>154</v>
          </cell>
          <cell r="DK781">
            <v>173</v>
          </cell>
          <cell r="DL781">
            <v>186</v>
          </cell>
          <cell r="DM781">
            <v>136</v>
          </cell>
          <cell r="DN781">
            <v>147</v>
          </cell>
          <cell r="DO781">
            <v>170</v>
          </cell>
          <cell r="DP781">
            <v>208</v>
          </cell>
          <cell r="DQ781">
            <v>252</v>
          </cell>
          <cell r="DR781">
            <v>263</v>
          </cell>
          <cell r="DS781">
            <v>271</v>
          </cell>
          <cell r="DT781">
            <v>314</v>
          </cell>
          <cell r="DU781">
            <v>381</v>
          </cell>
          <cell r="DV781">
            <v>380</v>
          </cell>
          <cell r="DW781">
            <v>292</v>
          </cell>
          <cell r="DX781">
            <v>289</v>
          </cell>
          <cell r="DY781">
            <v>366</v>
          </cell>
          <cell r="DZ781">
            <v>272</v>
          </cell>
          <cell r="EA781">
            <v>134</v>
          </cell>
          <cell r="EB781">
            <v>37</v>
          </cell>
          <cell r="EC781">
            <v>8</v>
          </cell>
        </row>
        <row r="782">
          <cell r="B782">
            <v>301</v>
          </cell>
          <cell r="C782">
            <v>15212</v>
          </cell>
          <cell r="D782">
            <v>9</v>
          </cell>
          <cell r="G782" t="str">
            <v>　　(旧 584 朝日村)</v>
          </cell>
          <cell r="DF782" t="str">
            <v>-</v>
          </cell>
          <cell r="DI782">
            <v>128</v>
          </cell>
          <cell r="DJ782">
            <v>145</v>
          </cell>
          <cell r="DK782">
            <v>183</v>
          </cell>
          <cell r="DL782">
            <v>207</v>
          </cell>
          <cell r="DM782">
            <v>124</v>
          </cell>
          <cell r="DN782">
            <v>154</v>
          </cell>
          <cell r="DO782">
            <v>151</v>
          </cell>
          <cell r="DP782">
            <v>217</v>
          </cell>
          <cell r="DQ782">
            <v>228</v>
          </cell>
          <cell r="DR782">
            <v>255</v>
          </cell>
          <cell r="DS782">
            <v>284</v>
          </cell>
          <cell r="DT782">
            <v>353</v>
          </cell>
          <cell r="DU782">
            <v>405</v>
          </cell>
          <cell r="DV782">
            <v>413</v>
          </cell>
          <cell r="DW782">
            <v>341</v>
          </cell>
          <cell r="DX782">
            <v>409</v>
          </cell>
          <cell r="DY782">
            <v>427</v>
          </cell>
          <cell r="DZ782">
            <v>353</v>
          </cell>
          <cell r="EA782">
            <v>172</v>
          </cell>
          <cell r="EB782">
            <v>45</v>
          </cell>
          <cell r="EC782">
            <v>9</v>
          </cell>
        </row>
        <row r="783">
          <cell r="B783">
            <v>301</v>
          </cell>
          <cell r="C783">
            <v>15212</v>
          </cell>
          <cell r="D783">
            <v>9</v>
          </cell>
          <cell r="G783" t="str">
            <v>　　(旧 585 山北町)</v>
          </cell>
          <cell r="DF783" t="str">
            <v>-</v>
          </cell>
          <cell r="DI783">
            <v>51</v>
          </cell>
          <cell r="DJ783">
            <v>62</v>
          </cell>
          <cell r="DK783">
            <v>94</v>
          </cell>
          <cell r="DL783">
            <v>94</v>
          </cell>
          <cell r="DM783">
            <v>65</v>
          </cell>
          <cell r="DN783">
            <v>50</v>
          </cell>
          <cell r="DO783">
            <v>71</v>
          </cell>
          <cell r="DP783">
            <v>104</v>
          </cell>
          <cell r="DQ783">
            <v>125</v>
          </cell>
          <cell r="DR783">
            <v>166</v>
          </cell>
          <cell r="DS783">
            <v>149</v>
          </cell>
          <cell r="DT783">
            <v>176</v>
          </cell>
          <cell r="DU783">
            <v>270</v>
          </cell>
          <cell r="DV783">
            <v>295</v>
          </cell>
          <cell r="DW783">
            <v>287</v>
          </cell>
          <cell r="DX783">
            <v>314</v>
          </cell>
          <cell r="DY783">
            <v>321</v>
          </cell>
          <cell r="DZ783">
            <v>252</v>
          </cell>
          <cell r="EA783">
            <v>145</v>
          </cell>
          <cell r="EB783">
            <v>57</v>
          </cell>
          <cell r="EC783">
            <v>7</v>
          </cell>
        </row>
        <row r="784">
          <cell r="B784">
            <v>301</v>
          </cell>
          <cell r="C784">
            <v>15213</v>
          </cell>
          <cell r="D784">
            <v>2</v>
          </cell>
          <cell r="G784" t="str">
            <v>燕市</v>
          </cell>
          <cell r="DF784">
            <v>71</v>
          </cell>
          <cell r="DI784">
            <v>1504</v>
          </cell>
          <cell r="DJ784">
            <v>1654</v>
          </cell>
          <cell r="DK784">
            <v>1740</v>
          </cell>
          <cell r="DL784">
            <v>1767</v>
          </cell>
          <cell r="DM784">
            <v>1501</v>
          </cell>
          <cell r="DN784">
            <v>1827</v>
          </cell>
          <cell r="DO784">
            <v>2122</v>
          </cell>
          <cell r="DP784">
            <v>2468</v>
          </cell>
          <cell r="DQ784">
            <v>2918</v>
          </cell>
          <cell r="DR784">
            <v>2700</v>
          </cell>
          <cell r="DS784">
            <v>2465</v>
          </cell>
          <cell r="DT784">
            <v>2422</v>
          </cell>
          <cell r="DU784">
            <v>2931</v>
          </cell>
          <cell r="DV784">
            <v>3309</v>
          </cell>
          <cell r="DW784">
            <v>2630</v>
          </cell>
          <cell r="DX784">
            <v>2536</v>
          </cell>
          <cell r="DY784">
            <v>2022</v>
          </cell>
          <cell r="DZ784">
            <v>1447</v>
          </cell>
          <cell r="EA784">
            <v>720</v>
          </cell>
          <cell r="EB784">
            <v>216</v>
          </cell>
          <cell r="EC784">
            <v>44</v>
          </cell>
        </row>
        <row r="785">
          <cell r="B785">
            <v>301</v>
          </cell>
          <cell r="C785">
            <v>15213</v>
          </cell>
          <cell r="D785">
            <v>9</v>
          </cell>
          <cell r="G785" t="str">
            <v>　　(旧 213 燕市)</v>
          </cell>
          <cell r="DF785">
            <v>44</v>
          </cell>
          <cell r="DI785">
            <v>833</v>
          </cell>
          <cell r="DJ785">
            <v>863</v>
          </cell>
          <cell r="DK785">
            <v>862</v>
          </cell>
          <cell r="DL785">
            <v>895</v>
          </cell>
          <cell r="DM785">
            <v>756</v>
          </cell>
          <cell r="DN785">
            <v>1029</v>
          </cell>
          <cell r="DO785">
            <v>1197</v>
          </cell>
          <cell r="DP785">
            <v>1346</v>
          </cell>
          <cell r="DQ785">
            <v>1563</v>
          </cell>
          <cell r="DR785">
            <v>1434</v>
          </cell>
          <cell r="DS785">
            <v>1313</v>
          </cell>
          <cell r="DT785">
            <v>1214</v>
          </cell>
          <cell r="DU785">
            <v>1493</v>
          </cell>
          <cell r="DV785">
            <v>1729</v>
          </cell>
          <cell r="DW785">
            <v>1460</v>
          </cell>
          <cell r="DX785">
            <v>1360</v>
          </cell>
          <cell r="DY785">
            <v>1032</v>
          </cell>
          <cell r="DZ785">
            <v>707</v>
          </cell>
          <cell r="EA785">
            <v>341</v>
          </cell>
          <cell r="EB785">
            <v>94</v>
          </cell>
          <cell r="EC785">
            <v>22</v>
          </cell>
        </row>
        <row r="786">
          <cell r="B786">
            <v>301</v>
          </cell>
          <cell r="C786">
            <v>15213</v>
          </cell>
          <cell r="D786">
            <v>9</v>
          </cell>
          <cell r="G786" t="str">
            <v>　　(旧 343 分水町)</v>
          </cell>
          <cell r="DF786">
            <v>11</v>
          </cell>
          <cell r="DI786">
            <v>230</v>
          </cell>
          <cell r="DJ786">
            <v>286</v>
          </cell>
          <cell r="DK786">
            <v>323</v>
          </cell>
          <cell r="DL786">
            <v>280</v>
          </cell>
          <cell r="DM786">
            <v>247</v>
          </cell>
          <cell r="DN786">
            <v>259</v>
          </cell>
          <cell r="DO786">
            <v>332</v>
          </cell>
          <cell r="DP786">
            <v>411</v>
          </cell>
          <cell r="DQ786">
            <v>467</v>
          </cell>
          <cell r="DR786">
            <v>443</v>
          </cell>
          <cell r="DS786">
            <v>434</v>
          </cell>
          <cell r="DT786">
            <v>444</v>
          </cell>
          <cell r="DU786">
            <v>566</v>
          </cell>
          <cell r="DV786">
            <v>601</v>
          </cell>
          <cell r="DW786">
            <v>460</v>
          </cell>
          <cell r="DX786">
            <v>438</v>
          </cell>
          <cell r="DY786">
            <v>389</v>
          </cell>
          <cell r="DZ786">
            <v>304</v>
          </cell>
          <cell r="EA786">
            <v>175</v>
          </cell>
          <cell r="EB786">
            <v>51</v>
          </cell>
          <cell r="EC786">
            <v>11</v>
          </cell>
        </row>
        <row r="787">
          <cell r="B787">
            <v>301</v>
          </cell>
          <cell r="C787">
            <v>15213</v>
          </cell>
          <cell r="D787">
            <v>9</v>
          </cell>
          <cell r="G787" t="str">
            <v>　　(旧 344 吉田町)</v>
          </cell>
          <cell r="DF787">
            <v>16</v>
          </cell>
          <cell r="DI787">
            <v>441</v>
          </cell>
          <cell r="DJ787">
            <v>505</v>
          </cell>
          <cell r="DK787">
            <v>555</v>
          </cell>
          <cell r="DL787">
            <v>592</v>
          </cell>
          <cell r="DM787">
            <v>498</v>
          </cell>
          <cell r="DN787">
            <v>539</v>
          </cell>
          <cell r="DO787">
            <v>593</v>
          </cell>
          <cell r="DP787">
            <v>711</v>
          </cell>
          <cell r="DQ787">
            <v>888</v>
          </cell>
          <cell r="DR787">
            <v>823</v>
          </cell>
          <cell r="DS787">
            <v>718</v>
          </cell>
          <cell r="DT787">
            <v>764</v>
          </cell>
          <cell r="DU787">
            <v>872</v>
          </cell>
          <cell r="DV787">
            <v>979</v>
          </cell>
          <cell r="DW787">
            <v>710</v>
          </cell>
          <cell r="DX787">
            <v>738</v>
          </cell>
          <cell r="DY787">
            <v>601</v>
          </cell>
          <cell r="DZ787">
            <v>436</v>
          </cell>
          <cell r="EA787">
            <v>204</v>
          </cell>
          <cell r="EB787">
            <v>71</v>
          </cell>
          <cell r="EC787">
            <v>11</v>
          </cell>
        </row>
        <row r="788">
          <cell r="B788">
            <v>301</v>
          </cell>
          <cell r="C788">
            <v>15216</v>
          </cell>
          <cell r="D788">
            <v>2</v>
          </cell>
          <cell r="G788" t="str">
            <v>糸魚川市</v>
          </cell>
          <cell r="DF788">
            <v>16</v>
          </cell>
          <cell r="DI788">
            <v>637</v>
          </cell>
          <cell r="DJ788">
            <v>770</v>
          </cell>
          <cell r="DK788">
            <v>935</v>
          </cell>
          <cell r="DL788">
            <v>767</v>
          </cell>
          <cell r="DM788">
            <v>515</v>
          </cell>
          <cell r="DN788">
            <v>717</v>
          </cell>
          <cell r="DO788">
            <v>892</v>
          </cell>
          <cell r="DP788">
            <v>1048</v>
          </cell>
          <cell r="DQ788">
            <v>1299</v>
          </cell>
          <cell r="DR788">
            <v>1317</v>
          </cell>
          <cell r="DS788">
            <v>1164</v>
          </cell>
          <cell r="DT788">
            <v>1405</v>
          </cell>
          <cell r="DU788">
            <v>1750</v>
          </cell>
          <cell r="DV788">
            <v>2051</v>
          </cell>
          <cell r="DW788">
            <v>1721</v>
          </cell>
          <cell r="DX788">
            <v>1762</v>
          </cell>
          <cell r="DY788">
            <v>1684</v>
          </cell>
          <cell r="DZ788">
            <v>1260</v>
          </cell>
          <cell r="EA788">
            <v>667</v>
          </cell>
          <cell r="EB788">
            <v>205</v>
          </cell>
          <cell r="EC788">
            <v>42</v>
          </cell>
        </row>
        <row r="789">
          <cell r="B789">
            <v>301</v>
          </cell>
          <cell r="C789">
            <v>15216</v>
          </cell>
          <cell r="D789">
            <v>9</v>
          </cell>
          <cell r="G789" t="str">
            <v>　　(旧 216 糸魚川市)</v>
          </cell>
          <cell r="DF789">
            <v>13</v>
          </cell>
          <cell r="DI789">
            <v>384</v>
          </cell>
          <cell r="DJ789">
            <v>469</v>
          </cell>
          <cell r="DK789">
            <v>597</v>
          </cell>
          <cell r="DL789">
            <v>483</v>
          </cell>
          <cell r="DM789">
            <v>322</v>
          </cell>
          <cell r="DN789">
            <v>457</v>
          </cell>
          <cell r="DO789">
            <v>580</v>
          </cell>
          <cell r="DP789">
            <v>662</v>
          </cell>
          <cell r="DQ789">
            <v>850</v>
          </cell>
          <cell r="DR789">
            <v>800</v>
          </cell>
          <cell r="DS789">
            <v>724</v>
          </cell>
          <cell r="DT789">
            <v>899</v>
          </cell>
          <cell r="DU789">
            <v>1084</v>
          </cell>
          <cell r="DV789">
            <v>1223</v>
          </cell>
          <cell r="DW789">
            <v>1055</v>
          </cell>
          <cell r="DX789">
            <v>1046</v>
          </cell>
          <cell r="DY789">
            <v>1029</v>
          </cell>
          <cell r="DZ789">
            <v>737</v>
          </cell>
          <cell r="EA789">
            <v>384</v>
          </cell>
          <cell r="EB789">
            <v>128</v>
          </cell>
          <cell r="EC789">
            <v>19</v>
          </cell>
        </row>
        <row r="790">
          <cell r="B790">
            <v>301</v>
          </cell>
          <cell r="C790">
            <v>15216</v>
          </cell>
          <cell r="D790">
            <v>9</v>
          </cell>
          <cell r="G790" t="str">
            <v>　　(旧 562 能生町)</v>
          </cell>
          <cell r="DF790">
            <v>2</v>
          </cell>
          <cell r="DI790">
            <v>118</v>
          </cell>
          <cell r="DJ790">
            <v>150</v>
          </cell>
          <cell r="DK790">
            <v>165</v>
          </cell>
          <cell r="DL790">
            <v>155</v>
          </cell>
          <cell r="DM790">
            <v>114</v>
          </cell>
          <cell r="DN790">
            <v>117</v>
          </cell>
          <cell r="DO790">
            <v>152</v>
          </cell>
          <cell r="DP790">
            <v>182</v>
          </cell>
          <cell r="DQ790">
            <v>213</v>
          </cell>
          <cell r="DR790">
            <v>253</v>
          </cell>
          <cell r="DS790">
            <v>232</v>
          </cell>
          <cell r="DT790">
            <v>275</v>
          </cell>
          <cell r="DU790">
            <v>357</v>
          </cell>
          <cell r="DV790">
            <v>391</v>
          </cell>
          <cell r="DW790">
            <v>315</v>
          </cell>
          <cell r="DX790">
            <v>359</v>
          </cell>
          <cell r="DY790">
            <v>319</v>
          </cell>
          <cell r="DZ790">
            <v>285</v>
          </cell>
          <cell r="EA790">
            <v>146</v>
          </cell>
          <cell r="EB790">
            <v>41</v>
          </cell>
          <cell r="EC790">
            <v>13</v>
          </cell>
        </row>
        <row r="791">
          <cell r="B791">
            <v>301</v>
          </cell>
          <cell r="C791">
            <v>15216</v>
          </cell>
          <cell r="D791">
            <v>9</v>
          </cell>
          <cell r="G791" t="str">
            <v>　　(旧 563 青海町)</v>
          </cell>
          <cell r="DF791">
            <v>1</v>
          </cell>
          <cell r="DI791">
            <v>135</v>
          </cell>
          <cell r="DJ791">
            <v>151</v>
          </cell>
          <cell r="DK791">
            <v>173</v>
          </cell>
          <cell r="DL791">
            <v>129</v>
          </cell>
          <cell r="DM791">
            <v>79</v>
          </cell>
          <cell r="DN791">
            <v>143</v>
          </cell>
          <cell r="DO791">
            <v>160</v>
          </cell>
          <cell r="DP791">
            <v>204</v>
          </cell>
          <cell r="DQ791">
            <v>236</v>
          </cell>
          <cell r="DR791">
            <v>264</v>
          </cell>
          <cell r="DS791">
            <v>208</v>
          </cell>
          <cell r="DT791">
            <v>231</v>
          </cell>
          <cell r="DU791">
            <v>309</v>
          </cell>
          <cell r="DV791">
            <v>437</v>
          </cell>
          <cell r="DW791">
            <v>351</v>
          </cell>
          <cell r="DX791">
            <v>357</v>
          </cell>
          <cell r="DY791">
            <v>336</v>
          </cell>
          <cell r="DZ791">
            <v>238</v>
          </cell>
          <cell r="EA791">
            <v>137</v>
          </cell>
          <cell r="EB791">
            <v>36</v>
          </cell>
          <cell r="EC791">
            <v>10</v>
          </cell>
        </row>
        <row r="792">
          <cell r="B792">
            <v>301</v>
          </cell>
          <cell r="C792">
            <v>15217</v>
          </cell>
          <cell r="D792">
            <v>2</v>
          </cell>
          <cell r="G792" t="str">
            <v>妙高市</v>
          </cell>
          <cell r="DF792">
            <v>5</v>
          </cell>
          <cell r="DI792">
            <v>508</v>
          </cell>
          <cell r="DJ792">
            <v>584</v>
          </cell>
          <cell r="DK792">
            <v>697</v>
          </cell>
          <cell r="DL792">
            <v>671</v>
          </cell>
          <cell r="DM792">
            <v>517</v>
          </cell>
          <cell r="DN792">
            <v>643</v>
          </cell>
          <cell r="DO792">
            <v>703</v>
          </cell>
          <cell r="DP792">
            <v>818</v>
          </cell>
          <cell r="DQ792">
            <v>966</v>
          </cell>
          <cell r="DR792">
            <v>1000</v>
          </cell>
          <cell r="DS792">
            <v>1099</v>
          </cell>
          <cell r="DT792">
            <v>1119</v>
          </cell>
          <cell r="DU792">
            <v>1292</v>
          </cell>
          <cell r="DV792">
            <v>1390</v>
          </cell>
          <cell r="DW792">
            <v>1085</v>
          </cell>
          <cell r="DX792">
            <v>1184</v>
          </cell>
          <cell r="DY792">
            <v>1189</v>
          </cell>
          <cell r="DZ792">
            <v>939</v>
          </cell>
          <cell r="EA792">
            <v>516</v>
          </cell>
          <cell r="EB792">
            <v>157</v>
          </cell>
          <cell r="EC792">
            <v>20</v>
          </cell>
        </row>
        <row r="793">
          <cell r="B793">
            <v>301</v>
          </cell>
          <cell r="C793">
            <v>15217</v>
          </cell>
          <cell r="D793">
            <v>9</v>
          </cell>
          <cell r="G793" t="str">
            <v>　　(旧 217 新井市)</v>
          </cell>
          <cell r="DF793">
            <v>5</v>
          </cell>
          <cell r="DI793">
            <v>408</v>
          </cell>
          <cell r="DJ793">
            <v>468</v>
          </cell>
          <cell r="DK793">
            <v>536</v>
          </cell>
          <cell r="DL793">
            <v>516</v>
          </cell>
          <cell r="DM793">
            <v>410</v>
          </cell>
          <cell r="DN793">
            <v>521</v>
          </cell>
          <cell r="DO793">
            <v>588</v>
          </cell>
          <cell r="DP793">
            <v>642</v>
          </cell>
          <cell r="DQ793">
            <v>749</v>
          </cell>
          <cell r="DR793">
            <v>752</v>
          </cell>
          <cell r="DS793">
            <v>841</v>
          </cell>
          <cell r="DT793">
            <v>817</v>
          </cell>
          <cell r="DU793">
            <v>905</v>
          </cell>
          <cell r="DV793">
            <v>968</v>
          </cell>
          <cell r="DW793">
            <v>752</v>
          </cell>
          <cell r="DX793">
            <v>819</v>
          </cell>
          <cell r="DY793">
            <v>838</v>
          </cell>
          <cell r="DZ793">
            <v>666</v>
          </cell>
          <cell r="EA793">
            <v>349</v>
          </cell>
          <cell r="EB793">
            <v>116</v>
          </cell>
          <cell r="EC793">
            <v>16</v>
          </cell>
        </row>
        <row r="794">
          <cell r="B794">
            <v>301</v>
          </cell>
          <cell r="C794">
            <v>15217</v>
          </cell>
          <cell r="D794">
            <v>9</v>
          </cell>
          <cell r="G794" t="str">
            <v>　　(旧 545 妙高高原町)</v>
          </cell>
          <cell r="DF794" t="str">
            <v>-</v>
          </cell>
          <cell r="DI794">
            <v>57</v>
          </cell>
          <cell r="DJ794">
            <v>65</v>
          </cell>
          <cell r="DK794">
            <v>97</v>
          </cell>
          <cell r="DL794">
            <v>82</v>
          </cell>
          <cell r="DM794">
            <v>50</v>
          </cell>
          <cell r="DN794">
            <v>68</v>
          </cell>
          <cell r="DO794">
            <v>63</v>
          </cell>
          <cell r="DP794">
            <v>82</v>
          </cell>
          <cell r="DQ794">
            <v>138</v>
          </cell>
          <cell r="DR794">
            <v>147</v>
          </cell>
          <cell r="DS794">
            <v>134</v>
          </cell>
          <cell r="DT794">
            <v>147</v>
          </cell>
          <cell r="DU794">
            <v>217</v>
          </cell>
          <cell r="DV794">
            <v>258</v>
          </cell>
          <cell r="DW794">
            <v>211</v>
          </cell>
          <cell r="DX794">
            <v>220</v>
          </cell>
          <cell r="DY794">
            <v>191</v>
          </cell>
          <cell r="DZ794">
            <v>144</v>
          </cell>
          <cell r="EA794">
            <v>93</v>
          </cell>
          <cell r="EB794">
            <v>21</v>
          </cell>
          <cell r="EC794">
            <v>4</v>
          </cell>
        </row>
        <row r="795">
          <cell r="B795">
            <v>301</v>
          </cell>
          <cell r="C795">
            <v>15217</v>
          </cell>
          <cell r="D795">
            <v>9</v>
          </cell>
          <cell r="G795" t="str">
            <v>　　(旧 547 妙高村)</v>
          </cell>
          <cell r="DF795" t="str">
            <v>-</v>
          </cell>
          <cell r="DI795">
            <v>43</v>
          </cell>
          <cell r="DJ795">
            <v>51</v>
          </cell>
          <cell r="DK795">
            <v>64</v>
          </cell>
          <cell r="DL795">
            <v>73</v>
          </cell>
          <cell r="DM795">
            <v>57</v>
          </cell>
          <cell r="DN795">
            <v>54</v>
          </cell>
          <cell r="DO795">
            <v>52</v>
          </cell>
          <cell r="DP795">
            <v>94</v>
          </cell>
          <cell r="DQ795">
            <v>79</v>
          </cell>
          <cell r="DR795">
            <v>101</v>
          </cell>
          <cell r="DS795">
            <v>124</v>
          </cell>
          <cell r="DT795">
            <v>155</v>
          </cell>
          <cell r="DU795">
            <v>170</v>
          </cell>
          <cell r="DV795">
            <v>164</v>
          </cell>
          <cell r="DW795">
            <v>122</v>
          </cell>
          <cell r="DX795">
            <v>145</v>
          </cell>
          <cell r="DY795">
            <v>160</v>
          </cell>
          <cell r="DZ795">
            <v>129</v>
          </cell>
          <cell r="EA795">
            <v>74</v>
          </cell>
          <cell r="EB795">
            <v>20</v>
          </cell>
          <cell r="EC795" t="str">
            <v>-</v>
          </cell>
        </row>
        <row r="796">
          <cell r="B796">
            <v>301</v>
          </cell>
          <cell r="C796">
            <v>15218</v>
          </cell>
          <cell r="D796">
            <v>2</v>
          </cell>
          <cell r="G796" t="str">
            <v>五泉市</v>
          </cell>
          <cell r="DF796">
            <v>3</v>
          </cell>
          <cell r="DI796">
            <v>789</v>
          </cell>
          <cell r="DJ796">
            <v>904</v>
          </cell>
          <cell r="DK796">
            <v>1156</v>
          </cell>
          <cell r="DL796">
            <v>1152</v>
          </cell>
          <cell r="DM796">
            <v>942</v>
          </cell>
          <cell r="DN796">
            <v>1038</v>
          </cell>
          <cell r="DO796">
            <v>1211</v>
          </cell>
          <cell r="DP796">
            <v>1434</v>
          </cell>
          <cell r="DQ796">
            <v>1545</v>
          </cell>
          <cell r="DR796">
            <v>1484</v>
          </cell>
          <cell r="DS796">
            <v>1604</v>
          </cell>
          <cell r="DT796">
            <v>1689</v>
          </cell>
          <cell r="DU796">
            <v>2105</v>
          </cell>
          <cell r="DV796">
            <v>2304</v>
          </cell>
          <cell r="DW796">
            <v>1731</v>
          </cell>
          <cell r="DX796">
            <v>1865</v>
          </cell>
          <cell r="DY796">
            <v>1667</v>
          </cell>
          <cell r="DZ796">
            <v>1275</v>
          </cell>
          <cell r="EA796">
            <v>688</v>
          </cell>
          <cell r="EB796">
            <v>191</v>
          </cell>
          <cell r="EC796">
            <v>31</v>
          </cell>
        </row>
        <row r="797">
          <cell r="B797">
            <v>301</v>
          </cell>
          <cell r="C797">
            <v>15218</v>
          </cell>
          <cell r="D797">
            <v>9</v>
          </cell>
          <cell r="G797" t="str">
            <v>　　(旧 218 五泉市)</v>
          </cell>
          <cell r="DF797">
            <v>3</v>
          </cell>
          <cell r="DI797">
            <v>561</v>
          </cell>
          <cell r="DJ797">
            <v>630</v>
          </cell>
          <cell r="DK797">
            <v>806</v>
          </cell>
          <cell r="DL797">
            <v>787</v>
          </cell>
          <cell r="DM797">
            <v>656</v>
          </cell>
          <cell r="DN797">
            <v>706</v>
          </cell>
          <cell r="DO797">
            <v>837</v>
          </cell>
          <cell r="DP797">
            <v>999</v>
          </cell>
          <cell r="DQ797">
            <v>1069</v>
          </cell>
          <cell r="DR797">
            <v>1054</v>
          </cell>
          <cell r="DS797">
            <v>1057</v>
          </cell>
          <cell r="DT797">
            <v>1114</v>
          </cell>
          <cell r="DU797">
            <v>1380</v>
          </cell>
          <cell r="DV797">
            <v>1530</v>
          </cell>
          <cell r="DW797">
            <v>1163</v>
          </cell>
          <cell r="DX797">
            <v>1189</v>
          </cell>
          <cell r="DY797">
            <v>997</v>
          </cell>
          <cell r="DZ797">
            <v>771</v>
          </cell>
          <cell r="EA797">
            <v>402</v>
          </cell>
          <cell r="EB797">
            <v>100</v>
          </cell>
          <cell r="EC797">
            <v>14</v>
          </cell>
        </row>
        <row r="798">
          <cell r="B798">
            <v>301</v>
          </cell>
          <cell r="C798">
            <v>15218</v>
          </cell>
          <cell r="D798">
            <v>9</v>
          </cell>
          <cell r="G798" t="str">
            <v>　　(旧 322 村松町)</v>
          </cell>
          <cell r="DF798" t="str">
            <v>-</v>
          </cell>
          <cell r="DI798">
            <v>228</v>
          </cell>
          <cell r="DJ798">
            <v>274</v>
          </cell>
          <cell r="DK798">
            <v>350</v>
          </cell>
          <cell r="DL798">
            <v>365</v>
          </cell>
          <cell r="DM798">
            <v>286</v>
          </cell>
          <cell r="DN798">
            <v>332</v>
          </cell>
          <cell r="DO798">
            <v>374</v>
          </cell>
          <cell r="DP798">
            <v>435</v>
          </cell>
          <cell r="DQ798">
            <v>476</v>
          </cell>
          <cell r="DR798">
            <v>430</v>
          </cell>
          <cell r="DS798">
            <v>547</v>
          </cell>
          <cell r="DT798">
            <v>575</v>
          </cell>
          <cell r="DU798">
            <v>725</v>
          </cell>
          <cell r="DV798">
            <v>774</v>
          </cell>
          <cell r="DW798">
            <v>568</v>
          </cell>
          <cell r="DX798">
            <v>676</v>
          </cell>
          <cell r="DY798">
            <v>670</v>
          </cell>
          <cell r="DZ798">
            <v>504</v>
          </cell>
          <cell r="EA798">
            <v>286</v>
          </cell>
          <cell r="EB798">
            <v>91</v>
          </cell>
          <cell r="EC798">
            <v>17</v>
          </cell>
        </row>
        <row r="799">
          <cell r="B799">
            <v>301</v>
          </cell>
          <cell r="C799">
            <v>15222</v>
          </cell>
          <cell r="D799">
            <v>2</v>
          </cell>
          <cell r="G799" t="str">
            <v>上越市</v>
          </cell>
          <cell r="DF799">
            <v>434</v>
          </cell>
          <cell r="DI799">
            <v>3594</v>
          </cell>
          <cell r="DJ799">
            <v>4056</v>
          </cell>
          <cell r="DK799">
            <v>4397</v>
          </cell>
          <cell r="DL799">
            <v>4297</v>
          </cell>
          <cell r="DM799">
            <v>3560</v>
          </cell>
          <cell r="DN799">
            <v>4124</v>
          </cell>
          <cell r="DO799">
            <v>4795</v>
          </cell>
          <cell r="DP799">
            <v>5790</v>
          </cell>
          <cell r="DQ799">
            <v>6519</v>
          </cell>
          <cell r="DR799">
            <v>5913</v>
          </cell>
          <cell r="DS799">
            <v>5876</v>
          </cell>
          <cell r="DT799">
            <v>6264</v>
          </cell>
          <cell r="DU799">
            <v>7490</v>
          </cell>
          <cell r="DV799">
            <v>7911</v>
          </cell>
          <cell r="DW799">
            <v>6330</v>
          </cell>
          <cell r="DX799">
            <v>5986</v>
          </cell>
          <cell r="DY799">
            <v>5742</v>
          </cell>
          <cell r="DZ799">
            <v>4582</v>
          </cell>
          <cell r="EA799">
            <v>2475</v>
          </cell>
          <cell r="EB799">
            <v>738</v>
          </cell>
          <cell r="EC799">
            <v>124</v>
          </cell>
        </row>
        <row r="800">
          <cell r="B800">
            <v>301</v>
          </cell>
          <cell r="C800">
            <v>15222</v>
          </cell>
          <cell r="D800">
            <v>9</v>
          </cell>
          <cell r="G800" t="str">
            <v>　　(旧 222 上越市)</v>
          </cell>
          <cell r="DF800">
            <v>410</v>
          </cell>
          <cell r="DI800">
            <v>2719</v>
          </cell>
          <cell r="DJ800">
            <v>2911</v>
          </cell>
          <cell r="DK800">
            <v>3008</v>
          </cell>
          <cell r="DL800">
            <v>2915</v>
          </cell>
          <cell r="DM800">
            <v>2634</v>
          </cell>
          <cell r="DN800">
            <v>3014</v>
          </cell>
          <cell r="DO800">
            <v>3515</v>
          </cell>
          <cell r="DP800">
            <v>4188</v>
          </cell>
          <cell r="DQ800">
            <v>4720</v>
          </cell>
          <cell r="DR800">
            <v>4129</v>
          </cell>
          <cell r="DS800">
            <v>3956</v>
          </cell>
          <cell r="DT800">
            <v>3981</v>
          </cell>
          <cell r="DU800">
            <v>4817</v>
          </cell>
          <cell r="DV800">
            <v>5149</v>
          </cell>
          <cell r="DW800">
            <v>4161</v>
          </cell>
          <cell r="DX800">
            <v>3760</v>
          </cell>
          <cell r="DY800">
            <v>3418</v>
          </cell>
          <cell r="DZ800">
            <v>2600</v>
          </cell>
          <cell r="EA800">
            <v>1447</v>
          </cell>
          <cell r="EB800">
            <v>445</v>
          </cell>
          <cell r="EC800">
            <v>73</v>
          </cell>
        </row>
        <row r="801">
          <cell r="B801">
            <v>301</v>
          </cell>
          <cell r="C801">
            <v>15222</v>
          </cell>
          <cell r="D801">
            <v>9</v>
          </cell>
          <cell r="G801" t="str">
            <v>　　(旧 521 安塚町)</v>
          </cell>
          <cell r="DF801" t="str">
            <v>-</v>
          </cell>
          <cell r="DI801">
            <v>11</v>
          </cell>
          <cell r="DJ801">
            <v>33</v>
          </cell>
          <cell r="DK801">
            <v>44</v>
          </cell>
          <cell r="DL801">
            <v>43</v>
          </cell>
          <cell r="DM801">
            <v>20</v>
          </cell>
          <cell r="DN801">
            <v>34</v>
          </cell>
          <cell r="DO801">
            <v>31</v>
          </cell>
          <cell r="DP801">
            <v>33</v>
          </cell>
          <cell r="DQ801">
            <v>52</v>
          </cell>
          <cell r="DR801">
            <v>53</v>
          </cell>
          <cell r="DS801">
            <v>69</v>
          </cell>
          <cell r="DT801">
            <v>87</v>
          </cell>
          <cell r="DU801">
            <v>103</v>
          </cell>
          <cell r="DV801">
            <v>116</v>
          </cell>
          <cell r="DW801">
            <v>104</v>
          </cell>
          <cell r="DX801">
            <v>111</v>
          </cell>
          <cell r="DY801">
            <v>144</v>
          </cell>
          <cell r="DZ801">
            <v>114</v>
          </cell>
          <cell r="EA801">
            <v>64</v>
          </cell>
          <cell r="EB801">
            <v>14</v>
          </cell>
          <cell r="EC801">
            <v>3</v>
          </cell>
        </row>
        <row r="802">
          <cell r="B802">
            <v>301</v>
          </cell>
          <cell r="C802">
            <v>15222</v>
          </cell>
          <cell r="D802">
            <v>9</v>
          </cell>
          <cell r="G802" t="str">
            <v>　　(旧 522 浦川原村)</v>
          </cell>
          <cell r="DF802" t="str">
            <v>-</v>
          </cell>
          <cell r="DI802">
            <v>51</v>
          </cell>
          <cell r="DJ802">
            <v>66</v>
          </cell>
          <cell r="DK802">
            <v>74</v>
          </cell>
          <cell r="DL802">
            <v>74</v>
          </cell>
          <cell r="DM802">
            <v>41</v>
          </cell>
          <cell r="DN802">
            <v>53</v>
          </cell>
          <cell r="DO802">
            <v>75</v>
          </cell>
          <cell r="DP802">
            <v>77</v>
          </cell>
          <cell r="DQ802">
            <v>99</v>
          </cell>
          <cell r="DR802">
            <v>85</v>
          </cell>
          <cell r="DS802">
            <v>94</v>
          </cell>
          <cell r="DT802">
            <v>139</v>
          </cell>
          <cell r="DU802">
            <v>144</v>
          </cell>
          <cell r="DV802">
            <v>147</v>
          </cell>
          <cell r="DW802">
            <v>101</v>
          </cell>
          <cell r="DX802">
            <v>123</v>
          </cell>
          <cell r="DY802">
            <v>147</v>
          </cell>
          <cell r="DZ802">
            <v>119</v>
          </cell>
          <cell r="EA802">
            <v>78</v>
          </cell>
          <cell r="EB802">
            <v>15</v>
          </cell>
          <cell r="EC802">
            <v>1</v>
          </cell>
        </row>
        <row r="803">
          <cell r="B803">
            <v>301</v>
          </cell>
          <cell r="C803">
            <v>15222</v>
          </cell>
          <cell r="D803">
            <v>9</v>
          </cell>
          <cell r="G803" t="str">
            <v>　　(旧 525 大島村)</v>
          </cell>
          <cell r="DF803" t="str">
            <v>-</v>
          </cell>
          <cell r="DI803">
            <v>19</v>
          </cell>
          <cell r="DJ803">
            <v>21</v>
          </cell>
          <cell r="DK803">
            <v>22</v>
          </cell>
          <cell r="DL803">
            <v>33</v>
          </cell>
          <cell r="DM803">
            <v>13</v>
          </cell>
          <cell r="DN803">
            <v>17</v>
          </cell>
          <cell r="DO803">
            <v>24</v>
          </cell>
          <cell r="DP803">
            <v>22</v>
          </cell>
          <cell r="DQ803">
            <v>29</v>
          </cell>
          <cell r="DR803">
            <v>30</v>
          </cell>
          <cell r="DS803">
            <v>35</v>
          </cell>
          <cell r="DT803">
            <v>59</v>
          </cell>
          <cell r="DU803">
            <v>61</v>
          </cell>
          <cell r="DV803">
            <v>71</v>
          </cell>
          <cell r="DW803">
            <v>65</v>
          </cell>
          <cell r="DX803">
            <v>101</v>
          </cell>
          <cell r="DY803">
            <v>95</v>
          </cell>
          <cell r="DZ803">
            <v>77</v>
          </cell>
          <cell r="EA803">
            <v>32</v>
          </cell>
          <cell r="EB803">
            <v>18</v>
          </cell>
          <cell r="EC803">
            <v>2</v>
          </cell>
        </row>
        <row r="804">
          <cell r="B804">
            <v>301</v>
          </cell>
          <cell r="C804">
            <v>15222</v>
          </cell>
          <cell r="D804">
            <v>9</v>
          </cell>
          <cell r="G804" t="str">
            <v>　　(旧 526 牧村)</v>
          </cell>
          <cell r="DF804">
            <v>1</v>
          </cell>
          <cell r="DI804">
            <v>22</v>
          </cell>
          <cell r="DJ804">
            <v>25</v>
          </cell>
          <cell r="DK804">
            <v>32</v>
          </cell>
          <cell r="DL804">
            <v>30</v>
          </cell>
          <cell r="DM804">
            <v>26</v>
          </cell>
          <cell r="DN804">
            <v>33</v>
          </cell>
          <cell r="DO804">
            <v>25</v>
          </cell>
          <cell r="DP804">
            <v>33</v>
          </cell>
          <cell r="DQ804">
            <v>41</v>
          </cell>
          <cell r="DR804">
            <v>42</v>
          </cell>
          <cell r="DS804">
            <v>56</v>
          </cell>
          <cell r="DT804">
            <v>65</v>
          </cell>
          <cell r="DU804">
            <v>74</v>
          </cell>
          <cell r="DV804">
            <v>94</v>
          </cell>
          <cell r="DW804">
            <v>89</v>
          </cell>
          <cell r="DX804">
            <v>97</v>
          </cell>
          <cell r="DY804">
            <v>124</v>
          </cell>
          <cell r="DZ804">
            <v>77</v>
          </cell>
          <cell r="EA804">
            <v>39</v>
          </cell>
          <cell r="EB804">
            <v>18</v>
          </cell>
          <cell r="EC804">
            <v>1</v>
          </cell>
        </row>
        <row r="805">
          <cell r="B805">
            <v>301</v>
          </cell>
          <cell r="C805">
            <v>15222</v>
          </cell>
          <cell r="D805">
            <v>9</v>
          </cell>
          <cell r="G805" t="str">
            <v>　　(旧 541 柿崎町)</v>
          </cell>
          <cell r="DF805">
            <v>1</v>
          </cell>
          <cell r="DI805">
            <v>138</v>
          </cell>
          <cell r="DJ805">
            <v>156</v>
          </cell>
          <cell r="DK805">
            <v>196</v>
          </cell>
          <cell r="DL805">
            <v>207</v>
          </cell>
          <cell r="DM805">
            <v>138</v>
          </cell>
          <cell r="DN805">
            <v>159</v>
          </cell>
          <cell r="DO805">
            <v>203</v>
          </cell>
          <cell r="DP805">
            <v>249</v>
          </cell>
          <cell r="DQ805">
            <v>247</v>
          </cell>
          <cell r="DR805">
            <v>273</v>
          </cell>
          <cell r="DS805">
            <v>307</v>
          </cell>
          <cell r="DT805">
            <v>337</v>
          </cell>
          <cell r="DU805">
            <v>453</v>
          </cell>
          <cell r="DV805">
            <v>483</v>
          </cell>
          <cell r="DW805">
            <v>355</v>
          </cell>
          <cell r="DX805">
            <v>359</v>
          </cell>
          <cell r="DY805">
            <v>345</v>
          </cell>
          <cell r="DZ805">
            <v>282</v>
          </cell>
          <cell r="EA805">
            <v>174</v>
          </cell>
          <cell r="EB805">
            <v>44</v>
          </cell>
          <cell r="EC805">
            <v>9</v>
          </cell>
        </row>
        <row r="806">
          <cell r="B806">
            <v>301</v>
          </cell>
          <cell r="C806">
            <v>15222</v>
          </cell>
          <cell r="D806">
            <v>9</v>
          </cell>
          <cell r="G806" t="str">
            <v>　　(旧 542 大潟町)</v>
          </cell>
          <cell r="DF806">
            <v>10</v>
          </cell>
          <cell r="DI806">
            <v>145</v>
          </cell>
          <cell r="DJ806">
            <v>164</v>
          </cell>
          <cell r="DK806">
            <v>180</v>
          </cell>
          <cell r="DL806">
            <v>209</v>
          </cell>
          <cell r="DM806">
            <v>160</v>
          </cell>
          <cell r="DN806">
            <v>186</v>
          </cell>
          <cell r="DO806">
            <v>219</v>
          </cell>
          <cell r="DP806">
            <v>276</v>
          </cell>
          <cell r="DQ806">
            <v>310</v>
          </cell>
          <cell r="DR806">
            <v>273</v>
          </cell>
          <cell r="DS806">
            <v>269</v>
          </cell>
          <cell r="DT806">
            <v>344</v>
          </cell>
          <cell r="DU806">
            <v>391</v>
          </cell>
          <cell r="DV806">
            <v>458</v>
          </cell>
          <cell r="DW806">
            <v>335</v>
          </cell>
          <cell r="DX806">
            <v>279</v>
          </cell>
          <cell r="DY806">
            <v>280</v>
          </cell>
          <cell r="DZ806">
            <v>219</v>
          </cell>
          <cell r="EA806">
            <v>117</v>
          </cell>
          <cell r="EB806">
            <v>31</v>
          </cell>
          <cell r="EC806">
            <v>1</v>
          </cell>
        </row>
        <row r="807">
          <cell r="B807">
            <v>301</v>
          </cell>
          <cell r="C807">
            <v>15222</v>
          </cell>
          <cell r="D807">
            <v>9</v>
          </cell>
          <cell r="G807" t="str">
            <v>　　(旧 543 頸城村)</v>
          </cell>
          <cell r="DF807">
            <v>8</v>
          </cell>
          <cell r="DI807">
            <v>143</v>
          </cell>
          <cell r="DJ807">
            <v>184</v>
          </cell>
          <cell r="DK807">
            <v>244</v>
          </cell>
          <cell r="DL807">
            <v>256</v>
          </cell>
          <cell r="DM807">
            <v>165</v>
          </cell>
          <cell r="DN807">
            <v>207</v>
          </cell>
          <cell r="DO807">
            <v>208</v>
          </cell>
          <cell r="DP807">
            <v>246</v>
          </cell>
          <cell r="DQ807">
            <v>313</v>
          </cell>
          <cell r="DR807">
            <v>329</v>
          </cell>
          <cell r="DS807">
            <v>310</v>
          </cell>
          <cell r="DT807">
            <v>318</v>
          </cell>
          <cell r="DU807">
            <v>340</v>
          </cell>
          <cell r="DV807">
            <v>328</v>
          </cell>
          <cell r="DW807">
            <v>237</v>
          </cell>
          <cell r="DX807">
            <v>231</v>
          </cell>
          <cell r="DY807">
            <v>260</v>
          </cell>
          <cell r="DZ807">
            <v>214</v>
          </cell>
          <cell r="EA807">
            <v>120</v>
          </cell>
          <cell r="EB807">
            <v>23</v>
          </cell>
          <cell r="EC807">
            <v>5</v>
          </cell>
        </row>
        <row r="808">
          <cell r="B808">
            <v>301</v>
          </cell>
          <cell r="C808">
            <v>15222</v>
          </cell>
          <cell r="D808">
            <v>9</v>
          </cell>
          <cell r="G808" t="str">
            <v>　　(旧 544 吉川町)</v>
          </cell>
          <cell r="DF808" t="str">
            <v>-</v>
          </cell>
          <cell r="DI808">
            <v>54</v>
          </cell>
          <cell r="DJ808">
            <v>65</v>
          </cell>
          <cell r="DK808">
            <v>88</v>
          </cell>
          <cell r="DL808">
            <v>97</v>
          </cell>
          <cell r="DM808">
            <v>59</v>
          </cell>
          <cell r="DN808">
            <v>58</v>
          </cell>
          <cell r="DO808">
            <v>70</v>
          </cell>
          <cell r="DP808">
            <v>94</v>
          </cell>
          <cell r="DQ808">
            <v>112</v>
          </cell>
          <cell r="DR808">
            <v>110</v>
          </cell>
          <cell r="DS808">
            <v>144</v>
          </cell>
          <cell r="DT808">
            <v>154</v>
          </cell>
          <cell r="DU808">
            <v>175</v>
          </cell>
          <cell r="DV808">
            <v>172</v>
          </cell>
          <cell r="DW808">
            <v>173</v>
          </cell>
          <cell r="DX808">
            <v>183</v>
          </cell>
          <cell r="DY808">
            <v>163</v>
          </cell>
          <cell r="DZ808">
            <v>147</v>
          </cell>
          <cell r="EA808">
            <v>66</v>
          </cell>
          <cell r="EB808">
            <v>16</v>
          </cell>
          <cell r="EC808">
            <v>5</v>
          </cell>
        </row>
        <row r="809">
          <cell r="B809">
            <v>301</v>
          </cell>
          <cell r="C809">
            <v>15222</v>
          </cell>
          <cell r="D809">
            <v>9</v>
          </cell>
          <cell r="G809" t="str">
            <v>　　(旧 546 中郷村)</v>
          </cell>
          <cell r="DF809" t="str">
            <v>-</v>
          </cell>
          <cell r="DI809">
            <v>47</v>
          </cell>
          <cell r="DJ809">
            <v>56</v>
          </cell>
          <cell r="DK809">
            <v>84</v>
          </cell>
          <cell r="DL809">
            <v>84</v>
          </cell>
          <cell r="DM809">
            <v>54</v>
          </cell>
          <cell r="DN809">
            <v>51</v>
          </cell>
          <cell r="DO809">
            <v>64</v>
          </cell>
          <cell r="DP809">
            <v>85</v>
          </cell>
          <cell r="DQ809">
            <v>103</v>
          </cell>
          <cell r="DR809">
            <v>95</v>
          </cell>
          <cell r="DS809">
            <v>125</v>
          </cell>
          <cell r="DT809">
            <v>140</v>
          </cell>
          <cell r="DU809">
            <v>181</v>
          </cell>
          <cell r="DV809">
            <v>194</v>
          </cell>
          <cell r="DW809">
            <v>149</v>
          </cell>
          <cell r="DX809">
            <v>128</v>
          </cell>
          <cell r="DY809">
            <v>125</v>
          </cell>
          <cell r="DZ809">
            <v>132</v>
          </cell>
          <cell r="EA809">
            <v>75</v>
          </cell>
          <cell r="EB809">
            <v>30</v>
          </cell>
          <cell r="EC809">
            <v>4</v>
          </cell>
        </row>
        <row r="810">
          <cell r="B810">
            <v>301</v>
          </cell>
          <cell r="C810">
            <v>15222</v>
          </cell>
          <cell r="D810">
            <v>9</v>
          </cell>
          <cell r="G810" t="str">
            <v>　　(旧 548 板倉町)</v>
          </cell>
          <cell r="DF810" t="str">
            <v>-</v>
          </cell>
          <cell r="DI810">
            <v>89</v>
          </cell>
          <cell r="DJ810">
            <v>147</v>
          </cell>
          <cell r="DK810">
            <v>180</v>
          </cell>
          <cell r="DL810">
            <v>134</v>
          </cell>
          <cell r="DM810">
            <v>93</v>
          </cell>
          <cell r="DN810">
            <v>115</v>
          </cell>
          <cell r="DO810">
            <v>134</v>
          </cell>
          <cell r="DP810">
            <v>211</v>
          </cell>
          <cell r="DQ810">
            <v>223</v>
          </cell>
          <cell r="DR810">
            <v>185</v>
          </cell>
          <cell r="DS810">
            <v>179</v>
          </cell>
          <cell r="DT810">
            <v>252</v>
          </cell>
          <cell r="DU810">
            <v>266</v>
          </cell>
          <cell r="DV810">
            <v>283</v>
          </cell>
          <cell r="DW810">
            <v>212</v>
          </cell>
          <cell r="DX810">
            <v>253</v>
          </cell>
          <cell r="DY810">
            <v>241</v>
          </cell>
          <cell r="DZ810">
            <v>211</v>
          </cell>
          <cell r="EA810">
            <v>103</v>
          </cell>
          <cell r="EB810">
            <v>48</v>
          </cell>
          <cell r="EC810">
            <v>8</v>
          </cell>
        </row>
        <row r="811">
          <cell r="B811">
            <v>301</v>
          </cell>
          <cell r="C811">
            <v>15222</v>
          </cell>
          <cell r="D811">
            <v>9</v>
          </cell>
          <cell r="G811" t="str">
            <v>　　(旧 549 清里村)</v>
          </cell>
          <cell r="DF811">
            <v>4</v>
          </cell>
          <cell r="DI811">
            <v>36</v>
          </cell>
          <cell r="DJ811">
            <v>60</v>
          </cell>
          <cell r="DK811">
            <v>63</v>
          </cell>
          <cell r="DL811">
            <v>56</v>
          </cell>
          <cell r="DM811">
            <v>44</v>
          </cell>
          <cell r="DN811">
            <v>49</v>
          </cell>
          <cell r="DO811">
            <v>55</v>
          </cell>
          <cell r="DP811">
            <v>76</v>
          </cell>
          <cell r="DQ811">
            <v>77</v>
          </cell>
          <cell r="DR811">
            <v>84</v>
          </cell>
          <cell r="DS811">
            <v>74</v>
          </cell>
          <cell r="DT811">
            <v>82</v>
          </cell>
          <cell r="DU811">
            <v>116</v>
          </cell>
          <cell r="DV811">
            <v>101</v>
          </cell>
          <cell r="DW811">
            <v>87</v>
          </cell>
          <cell r="DX811">
            <v>94</v>
          </cell>
          <cell r="DY811">
            <v>109</v>
          </cell>
          <cell r="DZ811">
            <v>81</v>
          </cell>
          <cell r="EA811">
            <v>40</v>
          </cell>
          <cell r="EB811">
            <v>9</v>
          </cell>
          <cell r="EC811">
            <v>3</v>
          </cell>
        </row>
        <row r="812">
          <cell r="B812">
            <v>301</v>
          </cell>
          <cell r="C812">
            <v>15222</v>
          </cell>
          <cell r="D812">
            <v>9</v>
          </cell>
          <cell r="G812" t="str">
            <v>　　(旧 550 三和村)</v>
          </cell>
          <cell r="DF812" t="str">
            <v>-</v>
          </cell>
          <cell r="DI812">
            <v>91</v>
          </cell>
          <cell r="DJ812">
            <v>129</v>
          </cell>
          <cell r="DK812">
            <v>134</v>
          </cell>
          <cell r="DL812">
            <v>115</v>
          </cell>
          <cell r="DM812">
            <v>76</v>
          </cell>
          <cell r="DN812">
            <v>114</v>
          </cell>
          <cell r="DO812">
            <v>123</v>
          </cell>
          <cell r="DP812">
            <v>153</v>
          </cell>
          <cell r="DQ812">
            <v>148</v>
          </cell>
          <cell r="DR812">
            <v>160</v>
          </cell>
          <cell r="DS812">
            <v>172</v>
          </cell>
          <cell r="DT812">
            <v>205</v>
          </cell>
          <cell r="DU812">
            <v>232</v>
          </cell>
          <cell r="DV812">
            <v>209</v>
          </cell>
          <cell r="DW812">
            <v>179</v>
          </cell>
          <cell r="DX812">
            <v>165</v>
          </cell>
          <cell r="DY812">
            <v>171</v>
          </cell>
          <cell r="DZ812">
            <v>188</v>
          </cell>
          <cell r="EA812">
            <v>88</v>
          </cell>
          <cell r="EB812">
            <v>15</v>
          </cell>
          <cell r="EC812">
            <v>6</v>
          </cell>
        </row>
        <row r="813">
          <cell r="B813">
            <v>301</v>
          </cell>
          <cell r="C813">
            <v>15222</v>
          </cell>
          <cell r="D813">
            <v>9</v>
          </cell>
          <cell r="G813" t="str">
            <v>　　(旧 561 名立町)</v>
          </cell>
          <cell r="DF813" t="str">
            <v>-</v>
          </cell>
          <cell r="DI813">
            <v>29</v>
          </cell>
          <cell r="DJ813">
            <v>39</v>
          </cell>
          <cell r="DK813">
            <v>48</v>
          </cell>
          <cell r="DL813">
            <v>44</v>
          </cell>
          <cell r="DM813">
            <v>37</v>
          </cell>
          <cell r="DN813">
            <v>34</v>
          </cell>
          <cell r="DO813">
            <v>49</v>
          </cell>
          <cell r="DP813">
            <v>47</v>
          </cell>
          <cell r="DQ813">
            <v>45</v>
          </cell>
          <cell r="DR813">
            <v>65</v>
          </cell>
          <cell r="DS813">
            <v>86</v>
          </cell>
          <cell r="DT813">
            <v>101</v>
          </cell>
          <cell r="DU813">
            <v>137</v>
          </cell>
          <cell r="DV813">
            <v>106</v>
          </cell>
          <cell r="DW813">
            <v>83</v>
          </cell>
          <cell r="DX813">
            <v>102</v>
          </cell>
          <cell r="DY813">
            <v>120</v>
          </cell>
          <cell r="DZ813">
            <v>121</v>
          </cell>
          <cell r="EA813">
            <v>32</v>
          </cell>
          <cell r="EB813">
            <v>12</v>
          </cell>
          <cell r="EC813">
            <v>3</v>
          </cell>
        </row>
        <row r="814">
          <cell r="B814">
            <v>301</v>
          </cell>
          <cell r="C814">
            <v>15223</v>
          </cell>
          <cell r="D814">
            <v>2</v>
          </cell>
          <cell r="G814" t="str">
            <v>阿賀野市</v>
          </cell>
          <cell r="DF814">
            <v>13</v>
          </cell>
          <cell r="DI814">
            <v>756</v>
          </cell>
          <cell r="DJ814">
            <v>761</v>
          </cell>
          <cell r="DK814">
            <v>941</v>
          </cell>
          <cell r="DL814">
            <v>1014</v>
          </cell>
          <cell r="DM814">
            <v>867</v>
          </cell>
          <cell r="DN814">
            <v>988</v>
          </cell>
          <cell r="DO814">
            <v>1080</v>
          </cell>
          <cell r="DP814">
            <v>1220</v>
          </cell>
          <cell r="DQ814">
            <v>1273</v>
          </cell>
          <cell r="DR814">
            <v>1220</v>
          </cell>
          <cell r="DS814">
            <v>1330</v>
          </cell>
          <cell r="DT814">
            <v>1581</v>
          </cell>
          <cell r="DU814">
            <v>1843</v>
          </cell>
          <cell r="DV814">
            <v>1760</v>
          </cell>
          <cell r="DW814">
            <v>1245</v>
          </cell>
          <cell r="DX814">
            <v>1337</v>
          </cell>
          <cell r="DY814">
            <v>1368</v>
          </cell>
          <cell r="DZ814">
            <v>1148</v>
          </cell>
          <cell r="EA814">
            <v>601</v>
          </cell>
          <cell r="EB814">
            <v>169</v>
          </cell>
          <cell r="EC814">
            <v>30</v>
          </cell>
        </row>
        <row r="815">
          <cell r="B815">
            <v>301</v>
          </cell>
          <cell r="C815">
            <v>15223</v>
          </cell>
          <cell r="D815">
            <v>9</v>
          </cell>
          <cell r="G815" t="str">
            <v>　　(旧 301 安田町)</v>
          </cell>
          <cell r="DF815">
            <v>6</v>
          </cell>
          <cell r="DI815">
            <v>159</v>
          </cell>
          <cell r="DJ815">
            <v>169</v>
          </cell>
          <cell r="DK815">
            <v>220</v>
          </cell>
          <cell r="DL815">
            <v>200</v>
          </cell>
          <cell r="DM815">
            <v>154</v>
          </cell>
          <cell r="DN815">
            <v>204</v>
          </cell>
          <cell r="DO815">
            <v>247</v>
          </cell>
          <cell r="DP815">
            <v>277</v>
          </cell>
          <cell r="DQ815">
            <v>296</v>
          </cell>
          <cell r="DR815">
            <v>262</v>
          </cell>
          <cell r="DS815">
            <v>288</v>
          </cell>
          <cell r="DT815">
            <v>335</v>
          </cell>
          <cell r="DU815">
            <v>398</v>
          </cell>
          <cell r="DV815">
            <v>373</v>
          </cell>
          <cell r="DW815">
            <v>266</v>
          </cell>
          <cell r="DX815">
            <v>303</v>
          </cell>
          <cell r="DY815">
            <v>311</v>
          </cell>
          <cell r="DZ815">
            <v>304</v>
          </cell>
          <cell r="EA815">
            <v>165</v>
          </cell>
          <cell r="EB815">
            <v>52</v>
          </cell>
          <cell r="EC815">
            <v>7</v>
          </cell>
        </row>
        <row r="816">
          <cell r="B816">
            <v>301</v>
          </cell>
          <cell r="C816">
            <v>15223</v>
          </cell>
          <cell r="D816">
            <v>9</v>
          </cell>
          <cell r="G816" t="str">
            <v>　　(旧 302 京ケ瀬村)</v>
          </cell>
          <cell r="DF816" t="str">
            <v>-</v>
          </cell>
          <cell r="DI816">
            <v>124</v>
          </cell>
          <cell r="DJ816">
            <v>114</v>
          </cell>
          <cell r="DK816">
            <v>149</v>
          </cell>
          <cell r="DL816">
            <v>162</v>
          </cell>
          <cell r="DM816">
            <v>143</v>
          </cell>
          <cell r="DN816">
            <v>188</v>
          </cell>
          <cell r="DO816">
            <v>161</v>
          </cell>
          <cell r="DP816">
            <v>207</v>
          </cell>
          <cell r="DQ816">
            <v>191</v>
          </cell>
          <cell r="DR816">
            <v>192</v>
          </cell>
          <cell r="DS816">
            <v>218</v>
          </cell>
          <cell r="DT816">
            <v>294</v>
          </cell>
          <cell r="DU816">
            <v>328</v>
          </cell>
          <cell r="DV816">
            <v>276</v>
          </cell>
          <cell r="DW816">
            <v>195</v>
          </cell>
          <cell r="DX816">
            <v>195</v>
          </cell>
          <cell r="DY816">
            <v>193</v>
          </cell>
          <cell r="DZ816">
            <v>186</v>
          </cell>
          <cell r="EA816">
            <v>95</v>
          </cell>
          <cell r="EB816">
            <v>24</v>
          </cell>
          <cell r="EC816">
            <v>3</v>
          </cell>
        </row>
        <row r="817">
          <cell r="B817">
            <v>301</v>
          </cell>
          <cell r="C817">
            <v>15223</v>
          </cell>
          <cell r="D817">
            <v>9</v>
          </cell>
          <cell r="G817" t="str">
            <v>　　(旧 303 水原町)</v>
          </cell>
          <cell r="DF817">
            <v>7</v>
          </cell>
          <cell r="DI817">
            <v>363</v>
          </cell>
          <cell r="DJ817">
            <v>372</v>
          </cell>
          <cell r="DK817">
            <v>429</v>
          </cell>
          <cell r="DL817">
            <v>490</v>
          </cell>
          <cell r="DM817">
            <v>433</v>
          </cell>
          <cell r="DN817">
            <v>434</v>
          </cell>
          <cell r="DO817">
            <v>483</v>
          </cell>
          <cell r="DP817">
            <v>570</v>
          </cell>
          <cell r="DQ817">
            <v>581</v>
          </cell>
          <cell r="DR817">
            <v>573</v>
          </cell>
          <cell r="DS817">
            <v>604</v>
          </cell>
          <cell r="DT817">
            <v>651</v>
          </cell>
          <cell r="DU817">
            <v>745</v>
          </cell>
          <cell r="DV817">
            <v>791</v>
          </cell>
          <cell r="DW817">
            <v>554</v>
          </cell>
          <cell r="DX817">
            <v>583</v>
          </cell>
          <cell r="DY817">
            <v>560</v>
          </cell>
          <cell r="DZ817">
            <v>431</v>
          </cell>
          <cell r="EA817">
            <v>246</v>
          </cell>
          <cell r="EB817">
            <v>71</v>
          </cell>
          <cell r="EC817">
            <v>13</v>
          </cell>
        </row>
        <row r="818">
          <cell r="B818">
            <v>301</v>
          </cell>
          <cell r="C818">
            <v>15223</v>
          </cell>
          <cell r="D818">
            <v>9</v>
          </cell>
          <cell r="G818" t="str">
            <v>　　(旧 304 笹神村)</v>
          </cell>
          <cell r="DF818" t="str">
            <v>-</v>
          </cell>
          <cell r="DI818">
            <v>110</v>
          </cell>
          <cell r="DJ818">
            <v>106</v>
          </cell>
          <cell r="DK818">
            <v>143</v>
          </cell>
          <cell r="DL818">
            <v>162</v>
          </cell>
          <cell r="DM818">
            <v>137</v>
          </cell>
          <cell r="DN818">
            <v>162</v>
          </cell>
          <cell r="DO818">
            <v>189</v>
          </cell>
          <cell r="DP818">
            <v>166</v>
          </cell>
          <cell r="DQ818">
            <v>205</v>
          </cell>
          <cell r="DR818">
            <v>193</v>
          </cell>
          <cell r="DS818">
            <v>220</v>
          </cell>
          <cell r="DT818">
            <v>301</v>
          </cell>
          <cell r="DU818">
            <v>372</v>
          </cell>
          <cell r="DV818">
            <v>320</v>
          </cell>
          <cell r="DW818">
            <v>230</v>
          </cell>
          <cell r="DX818">
            <v>256</v>
          </cell>
          <cell r="DY818">
            <v>304</v>
          </cell>
          <cell r="DZ818">
            <v>227</v>
          </cell>
          <cell r="EA818">
            <v>95</v>
          </cell>
          <cell r="EB818">
            <v>22</v>
          </cell>
          <cell r="EC818">
            <v>7</v>
          </cell>
        </row>
        <row r="819">
          <cell r="B819">
            <v>301</v>
          </cell>
          <cell r="C819">
            <v>15224</v>
          </cell>
          <cell r="D819">
            <v>2</v>
          </cell>
          <cell r="G819" t="str">
            <v>佐渡市</v>
          </cell>
          <cell r="DF819">
            <v>49</v>
          </cell>
          <cell r="DI819">
            <v>870</v>
          </cell>
          <cell r="DJ819">
            <v>942</v>
          </cell>
          <cell r="DK819">
            <v>1057</v>
          </cell>
          <cell r="DL819">
            <v>1063</v>
          </cell>
          <cell r="DM819">
            <v>657</v>
          </cell>
          <cell r="DN819">
            <v>886</v>
          </cell>
          <cell r="DO819">
            <v>1103</v>
          </cell>
          <cell r="DP819">
            <v>1359</v>
          </cell>
          <cell r="DQ819">
            <v>1358</v>
          </cell>
          <cell r="DR819">
            <v>1391</v>
          </cell>
          <cell r="DS819">
            <v>1650</v>
          </cell>
          <cell r="DT819">
            <v>1891</v>
          </cell>
          <cell r="DU819">
            <v>2140</v>
          </cell>
          <cell r="DV819">
            <v>2538</v>
          </cell>
          <cell r="DW819">
            <v>2202</v>
          </cell>
          <cell r="DX819">
            <v>2539</v>
          </cell>
          <cell r="DY819">
            <v>2731</v>
          </cell>
          <cell r="DZ819">
            <v>1975</v>
          </cell>
          <cell r="EA819">
            <v>1067</v>
          </cell>
          <cell r="EB819">
            <v>272</v>
          </cell>
          <cell r="EC819">
            <v>65</v>
          </cell>
        </row>
        <row r="820">
          <cell r="B820">
            <v>301</v>
          </cell>
          <cell r="C820">
            <v>15224</v>
          </cell>
          <cell r="D820">
            <v>9</v>
          </cell>
          <cell r="G820" t="str">
            <v>　　(旧 219 両津市)</v>
          </cell>
          <cell r="DF820">
            <v>1</v>
          </cell>
          <cell r="DI820">
            <v>190</v>
          </cell>
          <cell r="DJ820">
            <v>206</v>
          </cell>
          <cell r="DK820">
            <v>237</v>
          </cell>
          <cell r="DL820">
            <v>243</v>
          </cell>
          <cell r="DM820">
            <v>127</v>
          </cell>
          <cell r="DN820">
            <v>167</v>
          </cell>
          <cell r="DO820">
            <v>258</v>
          </cell>
          <cell r="DP820">
            <v>277</v>
          </cell>
          <cell r="DQ820">
            <v>285</v>
          </cell>
          <cell r="DR820">
            <v>333</v>
          </cell>
          <cell r="DS820">
            <v>393</v>
          </cell>
          <cell r="DT820">
            <v>427</v>
          </cell>
          <cell r="DU820">
            <v>496</v>
          </cell>
          <cell r="DV820">
            <v>636</v>
          </cell>
          <cell r="DW820">
            <v>502</v>
          </cell>
          <cell r="DX820">
            <v>659</v>
          </cell>
          <cell r="DY820">
            <v>681</v>
          </cell>
          <cell r="DZ820">
            <v>452</v>
          </cell>
          <cell r="EA820">
            <v>237</v>
          </cell>
          <cell r="EB820">
            <v>58</v>
          </cell>
          <cell r="EC820">
            <v>12</v>
          </cell>
        </row>
        <row r="821">
          <cell r="B821">
            <v>301</v>
          </cell>
          <cell r="C821">
            <v>15224</v>
          </cell>
          <cell r="D821">
            <v>9</v>
          </cell>
          <cell r="G821" t="str">
            <v>　　(旧 601 相川町)</v>
          </cell>
          <cell r="DF821" t="str">
            <v>-</v>
          </cell>
          <cell r="DI821">
            <v>64</v>
          </cell>
          <cell r="DJ821">
            <v>94</v>
          </cell>
          <cell r="DK821">
            <v>116</v>
          </cell>
          <cell r="DL821">
            <v>86</v>
          </cell>
          <cell r="DM821">
            <v>69</v>
          </cell>
          <cell r="DN821">
            <v>80</v>
          </cell>
          <cell r="DO821">
            <v>105</v>
          </cell>
          <cell r="DP821">
            <v>124</v>
          </cell>
          <cell r="DQ821">
            <v>116</v>
          </cell>
          <cell r="DR821">
            <v>139</v>
          </cell>
          <cell r="DS821">
            <v>195</v>
          </cell>
          <cell r="DT821">
            <v>241</v>
          </cell>
          <cell r="DU821">
            <v>279</v>
          </cell>
          <cell r="DV821">
            <v>320</v>
          </cell>
          <cell r="DW821">
            <v>297</v>
          </cell>
          <cell r="DX821">
            <v>365</v>
          </cell>
          <cell r="DY821">
            <v>388</v>
          </cell>
          <cell r="DZ821">
            <v>273</v>
          </cell>
          <cell r="EA821">
            <v>156</v>
          </cell>
          <cell r="EB821">
            <v>53</v>
          </cell>
          <cell r="EC821">
            <v>7</v>
          </cell>
        </row>
        <row r="822">
          <cell r="B822">
            <v>301</v>
          </cell>
          <cell r="C822">
            <v>15224</v>
          </cell>
          <cell r="D822">
            <v>9</v>
          </cell>
          <cell r="G822" t="str">
            <v>　　(旧 602 佐和田町)</v>
          </cell>
          <cell r="DF822">
            <v>21</v>
          </cell>
          <cell r="DI822">
            <v>167</v>
          </cell>
          <cell r="DJ822">
            <v>185</v>
          </cell>
          <cell r="DK822">
            <v>179</v>
          </cell>
          <cell r="DL822">
            <v>215</v>
          </cell>
          <cell r="DM822">
            <v>135</v>
          </cell>
          <cell r="DN822">
            <v>177</v>
          </cell>
          <cell r="DO822">
            <v>202</v>
          </cell>
          <cell r="DP822">
            <v>233</v>
          </cell>
          <cell r="DQ822">
            <v>288</v>
          </cell>
          <cell r="DR822">
            <v>229</v>
          </cell>
          <cell r="DS822">
            <v>236</v>
          </cell>
          <cell r="DT822">
            <v>274</v>
          </cell>
          <cell r="DU822">
            <v>294</v>
          </cell>
          <cell r="DV822">
            <v>362</v>
          </cell>
          <cell r="DW822">
            <v>304</v>
          </cell>
          <cell r="DX822">
            <v>317</v>
          </cell>
          <cell r="DY822">
            <v>313</v>
          </cell>
          <cell r="DZ822">
            <v>208</v>
          </cell>
          <cell r="EA822">
            <v>116</v>
          </cell>
          <cell r="EB822">
            <v>32</v>
          </cell>
          <cell r="EC822">
            <v>13</v>
          </cell>
        </row>
        <row r="823">
          <cell r="B823">
            <v>301</v>
          </cell>
          <cell r="C823">
            <v>15224</v>
          </cell>
          <cell r="D823">
            <v>9</v>
          </cell>
          <cell r="G823" t="str">
            <v>　　(旧 603 金井町)</v>
          </cell>
          <cell r="DF823">
            <v>26</v>
          </cell>
          <cell r="DI823">
            <v>145</v>
          </cell>
          <cell r="DJ823">
            <v>128</v>
          </cell>
          <cell r="DK823">
            <v>162</v>
          </cell>
          <cell r="DL823">
            <v>129</v>
          </cell>
          <cell r="DM823">
            <v>112</v>
          </cell>
          <cell r="DN823">
            <v>151</v>
          </cell>
          <cell r="DO823">
            <v>166</v>
          </cell>
          <cell r="DP823">
            <v>229</v>
          </cell>
          <cell r="DQ823">
            <v>175</v>
          </cell>
          <cell r="DR823">
            <v>179</v>
          </cell>
          <cell r="DS823">
            <v>181</v>
          </cell>
          <cell r="DT823">
            <v>205</v>
          </cell>
          <cell r="DU823">
            <v>199</v>
          </cell>
          <cell r="DV823">
            <v>260</v>
          </cell>
          <cell r="DW823">
            <v>227</v>
          </cell>
          <cell r="DX823">
            <v>220</v>
          </cell>
          <cell r="DY823">
            <v>227</v>
          </cell>
          <cell r="DZ823">
            <v>184</v>
          </cell>
          <cell r="EA823">
            <v>73</v>
          </cell>
          <cell r="EB823">
            <v>22</v>
          </cell>
          <cell r="EC823" t="str">
            <v>-</v>
          </cell>
        </row>
        <row r="824">
          <cell r="B824">
            <v>301</v>
          </cell>
          <cell r="C824">
            <v>15224</v>
          </cell>
          <cell r="D824">
            <v>9</v>
          </cell>
          <cell r="G824" t="str">
            <v>　　(旧 604 新穂村)</v>
          </cell>
          <cell r="DF824">
            <v>1</v>
          </cell>
          <cell r="DI824">
            <v>48</v>
          </cell>
          <cell r="DJ824">
            <v>56</v>
          </cell>
          <cell r="DK824">
            <v>69</v>
          </cell>
          <cell r="DL824">
            <v>79</v>
          </cell>
          <cell r="DM824">
            <v>32</v>
          </cell>
          <cell r="DN824">
            <v>46</v>
          </cell>
          <cell r="DO824">
            <v>51</v>
          </cell>
          <cell r="DP824">
            <v>98</v>
          </cell>
          <cell r="DQ824">
            <v>84</v>
          </cell>
          <cell r="DR824">
            <v>94</v>
          </cell>
          <cell r="DS824">
            <v>113</v>
          </cell>
          <cell r="DT824">
            <v>154</v>
          </cell>
          <cell r="DU824">
            <v>127</v>
          </cell>
          <cell r="DV824">
            <v>150</v>
          </cell>
          <cell r="DW824">
            <v>150</v>
          </cell>
          <cell r="DX824">
            <v>163</v>
          </cell>
          <cell r="DY824">
            <v>189</v>
          </cell>
          <cell r="DZ824">
            <v>146</v>
          </cell>
          <cell r="EA824">
            <v>78</v>
          </cell>
          <cell r="EB824">
            <v>23</v>
          </cell>
          <cell r="EC824">
            <v>6</v>
          </cell>
        </row>
        <row r="825">
          <cell r="B825">
            <v>301</v>
          </cell>
          <cell r="C825">
            <v>15224</v>
          </cell>
          <cell r="D825">
            <v>9</v>
          </cell>
          <cell r="G825" t="str">
            <v>　　(旧 605 畑野町)</v>
          </cell>
          <cell r="DF825" t="str">
            <v>-</v>
          </cell>
          <cell r="DI825">
            <v>70</v>
          </cell>
          <cell r="DJ825">
            <v>72</v>
          </cell>
          <cell r="DK825">
            <v>78</v>
          </cell>
          <cell r="DL825">
            <v>80</v>
          </cell>
          <cell r="DM825">
            <v>43</v>
          </cell>
          <cell r="DN825">
            <v>72</v>
          </cell>
          <cell r="DO825">
            <v>77</v>
          </cell>
          <cell r="DP825">
            <v>113</v>
          </cell>
          <cell r="DQ825">
            <v>113</v>
          </cell>
          <cell r="DR825">
            <v>92</v>
          </cell>
          <cell r="DS825">
            <v>122</v>
          </cell>
          <cell r="DT825">
            <v>140</v>
          </cell>
          <cell r="DU825">
            <v>157</v>
          </cell>
          <cell r="DV825">
            <v>194</v>
          </cell>
          <cell r="DW825">
            <v>172</v>
          </cell>
          <cell r="DX825">
            <v>215</v>
          </cell>
          <cell r="DY825">
            <v>236</v>
          </cell>
          <cell r="DZ825">
            <v>179</v>
          </cell>
          <cell r="EA825">
            <v>86</v>
          </cell>
          <cell r="EB825">
            <v>15</v>
          </cell>
          <cell r="EC825">
            <v>6</v>
          </cell>
        </row>
        <row r="826">
          <cell r="B826">
            <v>301</v>
          </cell>
          <cell r="C826">
            <v>15224</v>
          </cell>
          <cell r="D826">
            <v>9</v>
          </cell>
          <cell r="G826" t="str">
            <v>　　(旧 606 真野町)</v>
          </cell>
          <cell r="DF826" t="str">
            <v>-</v>
          </cell>
          <cell r="DI826">
            <v>74</v>
          </cell>
          <cell r="DJ826">
            <v>89</v>
          </cell>
          <cell r="DK826">
            <v>101</v>
          </cell>
          <cell r="DL826">
            <v>84</v>
          </cell>
          <cell r="DM826">
            <v>61</v>
          </cell>
          <cell r="DN826">
            <v>65</v>
          </cell>
          <cell r="DO826">
            <v>99</v>
          </cell>
          <cell r="DP826">
            <v>112</v>
          </cell>
          <cell r="DQ826">
            <v>118</v>
          </cell>
          <cell r="DR826">
            <v>141</v>
          </cell>
          <cell r="DS826">
            <v>161</v>
          </cell>
          <cell r="DT826">
            <v>150</v>
          </cell>
          <cell r="DU826">
            <v>214</v>
          </cell>
          <cell r="DV826">
            <v>221</v>
          </cell>
          <cell r="DW826">
            <v>196</v>
          </cell>
          <cell r="DX826">
            <v>193</v>
          </cell>
          <cell r="DY826">
            <v>233</v>
          </cell>
          <cell r="DZ826">
            <v>207</v>
          </cell>
          <cell r="EA826">
            <v>117</v>
          </cell>
          <cell r="EB826">
            <v>23</v>
          </cell>
          <cell r="EC826">
            <v>2</v>
          </cell>
        </row>
        <row r="827">
          <cell r="B827">
            <v>301</v>
          </cell>
          <cell r="C827">
            <v>15224</v>
          </cell>
          <cell r="D827">
            <v>9</v>
          </cell>
          <cell r="G827" t="str">
            <v>　　(旧 607 小木町)</v>
          </cell>
          <cell r="DF827" t="str">
            <v>-</v>
          </cell>
          <cell r="DI827">
            <v>48</v>
          </cell>
          <cell r="DJ827">
            <v>32</v>
          </cell>
          <cell r="DK827">
            <v>41</v>
          </cell>
          <cell r="DL827">
            <v>44</v>
          </cell>
          <cell r="DM827">
            <v>27</v>
          </cell>
          <cell r="DN827">
            <v>42</v>
          </cell>
          <cell r="DO827">
            <v>42</v>
          </cell>
          <cell r="DP827">
            <v>54</v>
          </cell>
          <cell r="DQ827">
            <v>72</v>
          </cell>
          <cell r="DR827">
            <v>69</v>
          </cell>
          <cell r="DS827">
            <v>94</v>
          </cell>
          <cell r="DT827">
            <v>93</v>
          </cell>
          <cell r="DU827">
            <v>139</v>
          </cell>
          <cell r="DV827">
            <v>142</v>
          </cell>
          <cell r="DW827">
            <v>134</v>
          </cell>
          <cell r="DX827">
            <v>124</v>
          </cell>
          <cell r="DY827">
            <v>145</v>
          </cell>
          <cell r="DZ827">
            <v>101</v>
          </cell>
          <cell r="EA827">
            <v>64</v>
          </cell>
          <cell r="EB827">
            <v>10</v>
          </cell>
          <cell r="EC827">
            <v>3</v>
          </cell>
        </row>
        <row r="828">
          <cell r="B828">
            <v>301</v>
          </cell>
          <cell r="C828">
            <v>15224</v>
          </cell>
          <cell r="D828">
            <v>9</v>
          </cell>
          <cell r="G828" t="str">
            <v>　　(旧 608 羽茂町)</v>
          </cell>
          <cell r="DF828" t="str">
            <v>-</v>
          </cell>
          <cell r="DI828">
            <v>46</v>
          </cell>
          <cell r="DJ828">
            <v>56</v>
          </cell>
          <cell r="DK828">
            <v>38</v>
          </cell>
          <cell r="DL828">
            <v>59</v>
          </cell>
          <cell r="DM828">
            <v>27</v>
          </cell>
          <cell r="DN828">
            <v>48</v>
          </cell>
          <cell r="DO828">
            <v>61</v>
          </cell>
          <cell r="DP828">
            <v>79</v>
          </cell>
          <cell r="DQ828">
            <v>58</v>
          </cell>
          <cell r="DR828">
            <v>71</v>
          </cell>
          <cell r="DS828">
            <v>90</v>
          </cell>
          <cell r="DT828">
            <v>121</v>
          </cell>
          <cell r="DU828">
            <v>140</v>
          </cell>
          <cell r="DV828">
            <v>150</v>
          </cell>
          <cell r="DW828">
            <v>145</v>
          </cell>
          <cell r="DX828">
            <v>161</v>
          </cell>
          <cell r="DY828">
            <v>179</v>
          </cell>
          <cell r="DZ828">
            <v>133</v>
          </cell>
          <cell r="EA828">
            <v>75</v>
          </cell>
          <cell r="EB828">
            <v>19</v>
          </cell>
          <cell r="EC828">
            <v>7</v>
          </cell>
        </row>
        <row r="829">
          <cell r="B829">
            <v>301</v>
          </cell>
          <cell r="C829">
            <v>15224</v>
          </cell>
          <cell r="D829">
            <v>9</v>
          </cell>
          <cell r="G829" t="str">
            <v>　　(旧 609 赤泊村)</v>
          </cell>
          <cell r="DF829" t="str">
            <v>-</v>
          </cell>
          <cell r="DI829">
            <v>18</v>
          </cell>
          <cell r="DJ829">
            <v>24</v>
          </cell>
          <cell r="DK829">
            <v>36</v>
          </cell>
          <cell r="DL829">
            <v>44</v>
          </cell>
          <cell r="DM829">
            <v>24</v>
          </cell>
          <cell r="DN829">
            <v>38</v>
          </cell>
          <cell r="DO829">
            <v>42</v>
          </cell>
          <cell r="DP829">
            <v>40</v>
          </cell>
          <cell r="DQ829">
            <v>49</v>
          </cell>
          <cell r="DR829">
            <v>44</v>
          </cell>
          <cell r="DS829">
            <v>65</v>
          </cell>
          <cell r="DT829">
            <v>86</v>
          </cell>
          <cell r="DU829">
            <v>95</v>
          </cell>
          <cell r="DV829">
            <v>103</v>
          </cell>
          <cell r="DW829">
            <v>75</v>
          </cell>
          <cell r="DX829">
            <v>122</v>
          </cell>
          <cell r="DY829">
            <v>140</v>
          </cell>
          <cell r="DZ829">
            <v>92</v>
          </cell>
          <cell r="EA829">
            <v>65</v>
          </cell>
          <cell r="EB829">
            <v>17</v>
          </cell>
          <cell r="EC829">
            <v>9</v>
          </cell>
        </row>
        <row r="830">
          <cell r="B830">
            <v>301</v>
          </cell>
          <cell r="C830">
            <v>15225</v>
          </cell>
          <cell r="D830">
            <v>2</v>
          </cell>
          <cell r="G830" t="str">
            <v>魚沼市</v>
          </cell>
          <cell r="DF830">
            <v>15</v>
          </cell>
          <cell r="DI830">
            <v>561</v>
          </cell>
          <cell r="DJ830">
            <v>691</v>
          </cell>
          <cell r="DK830">
            <v>865</v>
          </cell>
          <cell r="DL830">
            <v>832</v>
          </cell>
          <cell r="DM830">
            <v>471</v>
          </cell>
          <cell r="DN830">
            <v>688</v>
          </cell>
          <cell r="DO830">
            <v>879</v>
          </cell>
          <cell r="DP830">
            <v>969</v>
          </cell>
          <cell r="DQ830">
            <v>1055</v>
          </cell>
          <cell r="DR830">
            <v>1059</v>
          </cell>
          <cell r="DS830">
            <v>1080</v>
          </cell>
          <cell r="DT830">
            <v>1362</v>
          </cell>
          <cell r="DU830">
            <v>1656</v>
          </cell>
          <cell r="DV830">
            <v>1410</v>
          </cell>
          <cell r="DW830">
            <v>1241</v>
          </cell>
          <cell r="DX830">
            <v>1228</v>
          </cell>
          <cell r="DY830">
            <v>1242</v>
          </cell>
          <cell r="DZ830">
            <v>1094</v>
          </cell>
          <cell r="EA830">
            <v>568</v>
          </cell>
          <cell r="EB830">
            <v>147</v>
          </cell>
          <cell r="EC830">
            <v>32</v>
          </cell>
        </row>
        <row r="831">
          <cell r="B831">
            <v>301</v>
          </cell>
          <cell r="C831">
            <v>15225</v>
          </cell>
          <cell r="D831">
            <v>9</v>
          </cell>
          <cell r="G831" t="str">
            <v>　　(旧 442 堀之内町)</v>
          </cell>
          <cell r="DF831" t="str">
            <v>-</v>
          </cell>
          <cell r="DI831">
            <v>127</v>
          </cell>
          <cell r="DJ831">
            <v>164</v>
          </cell>
          <cell r="DK831">
            <v>189</v>
          </cell>
          <cell r="DL831">
            <v>168</v>
          </cell>
          <cell r="DM831">
            <v>104</v>
          </cell>
          <cell r="DN831">
            <v>143</v>
          </cell>
          <cell r="DO831">
            <v>164</v>
          </cell>
          <cell r="DP831">
            <v>207</v>
          </cell>
          <cell r="DQ831">
            <v>204</v>
          </cell>
          <cell r="DR831">
            <v>200</v>
          </cell>
          <cell r="DS831">
            <v>228</v>
          </cell>
          <cell r="DT831">
            <v>296</v>
          </cell>
          <cell r="DU831">
            <v>370</v>
          </cell>
          <cell r="DV831">
            <v>322</v>
          </cell>
          <cell r="DW831">
            <v>282</v>
          </cell>
          <cell r="DX831">
            <v>249</v>
          </cell>
          <cell r="DY831">
            <v>244</v>
          </cell>
          <cell r="DZ831">
            <v>197</v>
          </cell>
          <cell r="EA831">
            <v>117</v>
          </cell>
          <cell r="EB831">
            <v>39</v>
          </cell>
          <cell r="EC831">
            <v>10</v>
          </cell>
        </row>
        <row r="832">
          <cell r="B832">
            <v>301</v>
          </cell>
          <cell r="C832">
            <v>15225</v>
          </cell>
          <cell r="D832">
            <v>9</v>
          </cell>
          <cell r="G832" t="str">
            <v>　　(旧 443 小出町)</v>
          </cell>
          <cell r="DF832">
            <v>6</v>
          </cell>
          <cell r="DI832">
            <v>197</v>
          </cell>
          <cell r="DJ832">
            <v>200</v>
          </cell>
          <cell r="DK832">
            <v>266</v>
          </cell>
          <cell r="DL832">
            <v>261</v>
          </cell>
          <cell r="DM832">
            <v>154</v>
          </cell>
          <cell r="DN832">
            <v>231</v>
          </cell>
          <cell r="DO832">
            <v>290</v>
          </cell>
          <cell r="DP832">
            <v>310</v>
          </cell>
          <cell r="DQ832">
            <v>351</v>
          </cell>
          <cell r="DR832">
            <v>364</v>
          </cell>
          <cell r="DS832">
            <v>328</v>
          </cell>
          <cell r="DT832">
            <v>363</v>
          </cell>
          <cell r="DU832">
            <v>457</v>
          </cell>
          <cell r="DV832">
            <v>408</v>
          </cell>
          <cell r="DW832">
            <v>349</v>
          </cell>
          <cell r="DX832">
            <v>366</v>
          </cell>
          <cell r="DY832">
            <v>346</v>
          </cell>
          <cell r="DZ832">
            <v>339</v>
          </cell>
          <cell r="EA832">
            <v>154</v>
          </cell>
          <cell r="EB832">
            <v>43</v>
          </cell>
          <cell r="EC832">
            <v>4</v>
          </cell>
        </row>
        <row r="833">
          <cell r="B833">
            <v>301</v>
          </cell>
          <cell r="C833">
            <v>15225</v>
          </cell>
          <cell r="D833">
            <v>9</v>
          </cell>
          <cell r="G833" t="str">
            <v>　　(旧 444 湯之谷村)</v>
          </cell>
          <cell r="DF833">
            <v>6</v>
          </cell>
          <cell r="DI833">
            <v>94</v>
          </cell>
          <cell r="DJ833">
            <v>133</v>
          </cell>
          <cell r="DK833">
            <v>148</v>
          </cell>
          <cell r="DL833">
            <v>144</v>
          </cell>
          <cell r="DM833">
            <v>62</v>
          </cell>
          <cell r="DN833">
            <v>121</v>
          </cell>
          <cell r="DO833">
            <v>170</v>
          </cell>
          <cell r="DP833">
            <v>169</v>
          </cell>
          <cell r="DQ833">
            <v>195</v>
          </cell>
          <cell r="DR833">
            <v>167</v>
          </cell>
          <cell r="DS833">
            <v>175</v>
          </cell>
          <cell r="DT833">
            <v>200</v>
          </cell>
          <cell r="DU833">
            <v>259</v>
          </cell>
          <cell r="DV833">
            <v>205</v>
          </cell>
          <cell r="DW833">
            <v>188</v>
          </cell>
          <cell r="DX833">
            <v>165</v>
          </cell>
          <cell r="DY833">
            <v>152</v>
          </cell>
          <cell r="DZ833">
            <v>159</v>
          </cell>
          <cell r="EA833">
            <v>71</v>
          </cell>
          <cell r="EB833">
            <v>20</v>
          </cell>
          <cell r="EC833">
            <v>6</v>
          </cell>
        </row>
        <row r="834">
          <cell r="B834">
            <v>301</v>
          </cell>
          <cell r="C834">
            <v>15225</v>
          </cell>
          <cell r="D834">
            <v>9</v>
          </cell>
          <cell r="G834" t="str">
            <v>　　(旧 445 広神村)</v>
          </cell>
          <cell r="DF834">
            <v>3</v>
          </cell>
          <cell r="DI834">
            <v>99</v>
          </cell>
          <cell r="DJ834">
            <v>148</v>
          </cell>
          <cell r="DK834">
            <v>177</v>
          </cell>
          <cell r="DL834">
            <v>183</v>
          </cell>
          <cell r="DM834">
            <v>111</v>
          </cell>
          <cell r="DN834">
            <v>138</v>
          </cell>
          <cell r="DO834">
            <v>166</v>
          </cell>
          <cell r="DP834">
            <v>202</v>
          </cell>
          <cell r="DQ834">
            <v>210</v>
          </cell>
          <cell r="DR834">
            <v>204</v>
          </cell>
          <cell r="DS834">
            <v>222</v>
          </cell>
          <cell r="DT834">
            <v>304</v>
          </cell>
          <cell r="DU834">
            <v>325</v>
          </cell>
          <cell r="DV834">
            <v>277</v>
          </cell>
          <cell r="DW834">
            <v>240</v>
          </cell>
          <cell r="DX834">
            <v>236</v>
          </cell>
          <cell r="DY834">
            <v>241</v>
          </cell>
          <cell r="DZ834">
            <v>216</v>
          </cell>
          <cell r="EA834">
            <v>122</v>
          </cell>
          <cell r="EB834">
            <v>27</v>
          </cell>
          <cell r="EC834">
            <v>8</v>
          </cell>
        </row>
        <row r="835">
          <cell r="B835">
            <v>301</v>
          </cell>
          <cell r="C835">
            <v>15225</v>
          </cell>
          <cell r="D835">
            <v>9</v>
          </cell>
          <cell r="G835" t="str">
            <v>　　(旧 446 守門村)</v>
          </cell>
          <cell r="DF835" t="str">
            <v>-</v>
          </cell>
          <cell r="DI835">
            <v>34</v>
          </cell>
          <cell r="DJ835">
            <v>31</v>
          </cell>
          <cell r="DK835">
            <v>59</v>
          </cell>
          <cell r="DL835">
            <v>59</v>
          </cell>
          <cell r="DM835">
            <v>35</v>
          </cell>
          <cell r="DN835">
            <v>43</v>
          </cell>
          <cell r="DO835">
            <v>70</v>
          </cell>
          <cell r="DP835">
            <v>59</v>
          </cell>
          <cell r="DQ835">
            <v>63</v>
          </cell>
          <cell r="DR835">
            <v>95</v>
          </cell>
          <cell r="DS835">
            <v>92</v>
          </cell>
          <cell r="DT835">
            <v>154</v>
          </cell>
          <cell r="DU835">
            <v>179</v>
          </cell>
          <cell r="DV835">
            <v>136</v>
          </cell>
          <cell r="DW835">
            <v>136</v>
          </cell>
          <cell r="DX835">
            <v>151</v>
          </cell>
          <cell r="DY835">
            <v>171</v>
          </cell>
          <cell r="DZ835">
            <v>126</v>
          </cell>
          <cell r="EA835">
            <v>64</v>
          </cell>
          <cell r="EB835">
            <v>15</v>
          </cell>
          <cell r="EC835">
            <v>2</v>
          </cell>
        </row>
        <row r="836">
          <cell r="B836">
            <v>301</v>
          </cell>
          <cell r="C836">
            <v>15225</v>
          </cell>
          <cell r="D836">
            <v>9</v>
          </cell>
          <cell r="G836" t="str">
            <v>　　(旧 447 入広瀬村)</v>
          </cell>
          <cell r="DF836" t="str">
            <v>-</v>
          </cell>
          <cell r="DI836">
            <v>10</v>
          </cell>
          <cell r="DJ836">
            <v>15</v>
          </cell>
          <cell r="DK836">
            <v>26</v>
          </cell>
          <cell r="DL836">
            <v>17</v>
          </cell>
          <cell r="DM836">
            <v>5</v>
          </cell>
          <cell r="DN836">
            <v>12</v>
          </cell>
          <cell r="DO836">
            <v>19</v>
          </cell>
          <cell r="DP836">
            <v>22</v>
          </cell>
          <cell r="DQ836">
            <v>32</v>
          </cell>
          <cell r="DR836">
            <v>29</v>
          </cell>
          <cell r="DS836">
            <v>35</v>
          </cell>
          <cell r="DT836">
            <v>45</v>
          </cell>
          <cell r="DU836">
            <v>66</v>
          </cell>
          <cell r="DV836">
            <v>62</v>
          </cell>
          <cell r="DW836">
            <v>46</v>
          </cell>
          <cell r="DX836">
            <v>61</v>
          </cell>
          <cell r="DY836">
            <v>88</v>
          </cell>
          <cell r="DZ836">
            <v>57</v>
          </cell>
          <cell r="EA836">
            <v>40</v>
          </cell>
          <cell r="EB836">
            <v>3</v>
          </cell>
          <cell r="EC836">
            <v>2</v>
          </cell>
        </row>
        <row r="837">
          <cell r="B837">
            <v>301</v>
          </cell>
          <cell r="C837">
            <v>15226</v>
          </cell>
          <cell r="D837">
            <v>2</v>
          </cell>
          <cell r="G837" t="str">
            <v>南魚沼市</v>
          </cell>
          <cell r="DF837" t="str">
            <v>-</v>
          </cell>
          <cell r="DI837">
            <v>1125</v>
          </cell>
          <cell r="DJ837">
            <v>1197</v>
          </cell>
          <cell r="DK837">
            <v>1225</v>
          </cell>
          <cell r="DL837">
            <v>1450</v>
          </cell>
          <cell r="DM837">
            <v>1272</v>
          </cell>
          <cell r="DN837">
            <v>1217</v>
          </cell>
          <cell r="DO837">
            <v>1520</v>
          </cell>
          <cell r="DP837">
            <v>1843</v>
          </cell>
          <cell r="DQ837">
            <v>1763</v>
          </cell>
          <cell r="DR837">
            <v>1630</v>
          </cell>
          <cell r="DS837">
            <v>1657</v>
          </cell>
          <cell r="DT837">
            <v>1992</v>
          </cell>
          <cell r="DU837">
            <v>2432</v>
          </cell>
          <cell r="DV837">
            <v>2205</v>
          </cell>
          <cell r="DW837">
            <v>1658</v>
          </cell>
          <cell r="DX837">
            <v>1589</v>
          </cell>
          <cell r="DY837">
            <v>1682</v>
          </cell>
          <cell r="DZ837">
            <v>1516</v>
          </cell>
          <cell r="EA837">
            <v>788</v>
          </cell>
          <cell r="EB837">
            <v>225</v>
          </cell>
          <cell r="EC837">
            <v>37</v>
          </cell>
        </row>
        <row r="838">
          <cell r="B838">
            <v>301</v>
          </cell>
          <cell r="C838">
            <v>15226</v>
          </cell>
          <cell r="D838">
            <v>9</v>
          </cell>
          <cell r="G838" t="str">
            <v>　　(旧 462 塩沢町)</v>
          </cell>
          <cell r="DF838" t="str">
            <v>-</v>
          </cell>
          <cell r="DI838">
            <v>329</v>
          </cell>
          <cell r="DJ838">
            <v>378</v>
          </cell>
          <cell r="DK838">
            <v>384</v>
          </cell>
          <cell r="DL838">
            <v>404</v>
          </cell>
          <cell r="DM838">
            <v>281</v>
          </cell>
          <cell r="DN838">
            <v>276</v>
          </cell>
          <cell r="DO838">
            <v>395</v>
          </cell>
          <cell r="DP838">
            <v>537</v>
          </cell>
          <cell r="DQ838">
            <v>573</v>
          </cell>
          <cell r="DR838">
            <v>508</v>
          </cell>
          <cell r="DS838">
            <v>505</v>
          </cell>
          <cell r="DT838">
            <v>624</v>
          </cell>
          <cell r="DU838">
            <v>783</v>
          </cell>
          <cell r="DV838">
            <v>708</v>
          </cell>
          <cell r="DW838">
            <v>579</v>
          </cell>
          <cell r="DX838">
            <v>505</v>
          </cell>
          <cell r="DY838">
            <v>564</v>
          </cell>
          <cell r="DZ838">
            <v>503</v>
          </cell>
          <cell r="EA838">
            <v>232</v>
          </cell>
          <cell r="EB838">
            <v>66</v>
          </cell>
          <cell r="EC838">
            <v>9</v>
          </cell>
        </row>
        <row r="839">
          <cell r="B839">
            <v>301</v>
          </cell>
          <cell r="C839">
            <v>15226</v>
          </cell>
          <cell r="D839">
            <v>9</v>
          </cell>
          <cell r="G839" t="str">
            <v>　　(旧 463 六日町)</v>
          </cell>
          <cell r="DF839" t="str">
            <v>-</v>
          </cell>
          <cell r="DI839">
            <v>521</v>
          </cell>
          <cell r="DJ839">
            <v>532</v>
          </cell>
          <cell r="DK839">
            <v>534</v>
          </cell>
          <cell r="DL839">
            <v>604</v>
          </cell>
          <cell r="DM839">
            <v>442</v>
          </cell>
          <cell r="DN839">
            <v>586</v>
          </cell>
          <cell r="DO839">
            <v>695</v>
          </cell>
          <cell r="DP839">
            <v>860</v>
          </cell>
          <cell r="DQ839">
            <v>794</v>
          </cell>
          <cell r="DR839">
            <v>779</v>
          </cell>
          <cell r="DS839">
            <v>800</v>
          </cell>
          <cell r="DT839">
            <v>893</v>
          </cell>
          <cell r="DU839">
            <v>1070</v>
          </cell>
          <cell r="DV839">
            <v>1009</v>
          </cell>
          <cell r="DW839">
            <v>731</v>
          </cell>
          <cell r="DX839">
            <v>755</v>
          </cell>
          <cell r="DY839">
            <v>739</v>
          </cell>
          <cell r="DZ839">
            <v>652</v>
          </cell>
          <cell r="EA839">
            <v>361</v>
          </cell>
          <cell r="EB839">
            <v>87</v>
          </cell>
          <cell r="EC839">
            <v>20</v>
          </cell>
        </row>
        <row r="840">
          <cell r="B840">
            <v>301</v>
          </cell>
          <cell r="C840">
            <v>15226</v>
          </cell>
          <cell r="D840">
            <v>9</v>
          </cell>
          <cell r="G840" t="str">
            <v>　　(旧 464 大和町)</v>
          </cell>
          <cell r="DF840" t="str">
            <v>-</v>
          </cell>
          <cell r="DI840">
            <v>275</v>
          </cell>
          <cell r="DJ840">
            <v>287</v>
          </cell>
          <cell r="DK840">
            <v>307</v>
          </cell>
          <cell r="DL840">
            <v>442</v>
          </cell>
          <cell r="DM840">
            <v>549</v>
          </cell>
          <cell r="DN840">
            <v>355</v>
          </cell>
          <cell r="DO840">
            <v>430</v>
          </cell>
          <cell r="DP840">
            <v>446</v>
          </cell>
          <cell r="DQ840">
            <v>396</v>
          </cell>
          <cell r="DR840">
            <v>343</v>
          </cell>
          <cell r="DS840">
            <v>352</v>
          </cell>
          <cell r="DT840">
            <v>475</v>
          </cell>
          <cell r="DU840">
            <v>579</v>
          </cell>
          <cell r="DV840">
            <v>488</v>
          </cell>
          <cell r="DW840">
            <v>348</v>
          </cell>
          <cell r="DX840">
            <v>329</v>
          </cell>
          <cell r="DY840">
            <v>379</v>
          </cell>
          <cell r="DZ840">
            <v>361</v>
          </cell>
          <cell r="EA840">
            <v>195</v>
          </cell>
          <cell r="EB840">
            <v>72</v>
          </cell>
          <cell r="EC840">
            <v>8</v>
          </cell>
        </row>
        <row r="841">
          <cell r="B841">
            <v>301</v>
          </cell>
          <cell r="C841">
            <v>15227</v>
          </cell>
          <cell r="D841">
            <v>2</v>
          </cell>
          <cell r="G841" t="str">
            <v>胎内市</v>
          </cell>
          <cell r="DF841">
            <v>14</v>
          </cell>
          <cell r="DI841">
            <v>518</v>
          </cell>
          <cell r="DJ841">
            <v>544</v>
          </cell>
          <cell r="DK841">
            <v>649</v>
          </cell>
          <cell r="DL841">
            <v>695</v>
          </cell>
          <cell r="DM841">
            <v>464</v>
          </cell>
          <cell r="DN841">
            <v>623</v>
          </cell>
          <cell r="DO841">
            <v>675</v>
          </cell>
          <cell r="DP841">
            <v>828</v>
          </cell>
          <cell r="DQ841">
            <v>900</v>
          </cell>
          <cell r="DR841">
            <v>846</v>
          </cell>
          <cell r="DS841">
            <v>892</v>
          </cell>
          <cell r="DT841">
            <v>1024</v>
          </cell>
          <cell r="DU841">
            <v>1278</v>
          </cell>
          <cell r="DV841">
            <v>1274</v>
          </cell>
          <cell r="DW841">
            <v>1036</v>
          </cell>
          <cell r="DX841">
            <v>967</v>
          </cell>
          <cell r="DY841">
            <v>970</v>
          </cell>
          <cell r="DZ841">
            <v>859</v>
          </cell>
          <cell r="EA841">
            <v>401</v>
          </cell>
          <cell r="EB841">
            <v>114</v>
          </cell>
          <cell r="EC841">
            <v>16</v>
          </cell>
        </row>
        <row r="842">
          <cell r="B842">
            <v>301</v>
          </cell>
          <cell r="C842">
            <v>15227</v>
          </cell>
          <cell r="D842">
            <v>9</v>
          </cell>
          <cell r="G842" t="str">
            <v>　　(旧 310 中条町)</v>
          </cell>
          <cell r="DF842">
            <v>12</v>
          </cell>
          <cell r="DI842">
            <v>433</v>
          </cell>
          <cell r="DJ842">
            <v>443</v>
          </cell>
          <cell r="DK842">
            <v>544</v>
          </cell>
          <cell r="DL842">
            <v>575</v>
          </cell>
          <cell r="DM842">
            <v>397</v>
          </cell>
          <cell r="DN842">
            <v>519</v>
          </cell>
          <cell r="DO842">
            <v>576</v>
          </cell>
          <cell r="DP842">
            <v>701</v>
          </cell>
          <cell r="DQ842">
            <v>754</v>
          </cell>
          <cell r="DR842">
            <v>732</v>
          </cell>
          <cell r="DS842">
            <v>729</v>
          </cell>
          <cell r="DT842">
            <v>835</v>
          </cell>
          <cell r="DU842">
            <v>1032</v>
          </cell>
          <cell r="DV842">
            <v>1045</v>
          </cell>
          <cell r="DW842">
            <v>866</v>
          </cell>
          <cell r="DX842">
            <v>786</v>
          </cell>
          <cell r="DY842">
            <v>761</v>
          </cell>
          <cell r="DZ842">
            <v>639</v>
          </cell>
          <cell r="EA842">
            <v>291</v>
          </cell>
          <cell r="EB842">
            <v>84</v>
          </cell>
          <cell r="EC842">
            <v>10</v>
          </cell>
        </row>
        <row r="843">
          <cell r="B843">
            <v>301</v>
          </cell>
          <cell r="C843">
            <v>15227</v>
          </cell>
          <cell r="D843">
            <v>9</v>
          </cell>
          <cell r="G843" t="str">
            <v>　　(旧 311 黒川村)</v>
          </cell>
          <cell r="DF843">
            <v>2</v>
          </cell>
          <cell r="DI843">
            <v>85</v>
          </cell>
          <cell r="DJ843">
            <v>101</v>
          </cell>
          <cell r="DK843">
            <v>105</v>
          </cell>
          <cell r="DL843">
            <v>120</v>
          </cell>
          <cell r="DM843">
            <v>67</v>
          </cell>
          <cell r="DN843">
            <v>104</v>
          </cell>
          <cell r="DO843">
            <v>99</v>
          </cell>
          <cell r="DP843">
            <v>127</v>
          </cell>
          <cell r="DQ843">
            <v>146</v>
          </cell>
          <cell r="DR843">
            <v>114</v>
          </cell>
          <cell r="DS843">
            <v>163</v>
          </cell>
          <cell r="DT843">
            <v>189</v>
          </cell>
          <cell r="DU843">
            <v>246</v>
          </cell>
          <cell r="DV843">
            <v>229</v>
          </cell>
          <cell r="DW843">
            <v>170</v>
          </cell>
          <cell r="DX843">
            <v>181</v>
          </cell>
          <cell r="DY843">
            <v>209</v>
          </cell>
          <cell r="DZ843">
            <v>220</v>
          </cell>
          <cell r="EA843">
            <v>110</v>
          </cell>
          <cell r="EB843">
            <v>30</v>
          </cell>
          <cell r="EC843">
            <v>6</v>
          </cell>
        </row>
        <row r="844">
          <cell r="B844">
            <v>301</v>
          </cell>
          <cell r="C844">
            <v>15300</v>
          </cell>
          <cell r="D844" t="str">
            <v>c</v>
          </cell>
          <cell r="G844" t="str">
            <v>北蒲原郡</v>
          </cell>
          <cell r="DF844">
            <v>16</v>
          </cell>
          <cell r="DI844">
            <v>329</v>
          </cell>
          <cell r="DJ844">
            <v>312</v>
          </cell>
          <cell r="DK844">
            <v>310</v>
          </cell>
          <cell r="DL844">
            <v>376</v>
          </cell>
          <cell r="DM844">
            <v>298</v>
          </cell>
          <cell r="DN844">
            <v>355</v>
          </cell>
          <cell r="DO844">
            <v>419</v>
          </cell>
          <cell r="DP844">
            <v>430</v>
          </cell>
          <cell r="DQ844">
            <v>452</v>
          </cell>
          <cell r="DR844">
            <v>398</v>
          </cell>
          <cell r="DS844">
            <v>368</v>
          </cell>
          <cell r="DT844">
            <v>432</v>
          </cell>
          <cell r="DU844">
            <v>481</v>
          </cell>
          <cell r="DV844">
            <v>504</v>
          </cell>
          <cell r="DW844">
            <v>348</v>
          </cell>
          <cell r="DX844">
            <v>338</v>
          </cell>
          <cell r="DY844">
            <v>339</v>
          </cell>
          <cell r="DZ844">
            <v>332</v>
          </cell>
          <cell r="EA844">
            <v>133</v>
          </cell>
          <cell r="EB844">
            <v>45</v>
          </cell>
          <cell r="EC844">
            <v>7</v>
          </cell>
        </row>
        <row r="845">
          <cell r="B845">
            <v>301</v>
          </cell>
          <cell r="C845">
            <v>15307</v>
          </cell>
          <cell r="D845">
            <v>3</v>
          </cell>
          <cell r="G845" t="str">
            <v>聖籠町</v>
          </cell>
          <cell r="DF845">
            <v>16</v>
          </cell>
          <cell r="DI845">
            <v>329</v>
          </cell>
          <cell r="DJ845">
            <v>312</v>
          </cell>
          <cell r="DK845">
            <v>310</v>
          </cell>
          <cell r="DL845">
            <v>376</v>
          </cell>
          <cell r="DM845">
            <v>298</v>
          </cell>
          <cell r="DN845">
            <v>355</v>
          </cell>
          <cell r="DO845">
            <v>419</v>
          </cell>
          <cell r="DP845">
            <v>430</v>
          </cell>
          <cell r="DQ845">
            <v>452</v>
          </cell>
          <cell r="DR845">
            <v>398</v>
          </cell>
          <cell r="DS845">
            <v>368</v>
          </cell>
          <cell r="DT845">
            <v>432</v>
          </cell>
          <cell r="DU845">
            <v>481</v>
          </cell>
          <cell r="DV845">
            <v>504</v>
          </cell>
          <cell r="DW845">
            <v>348</v>
          </cell>
          <cell r="DX845">
            <v>338</v>
          </cell>
          <cell r="DY845">
            <v>339</v>
          </cell>
          <cell r="DZ845">
            <v>332</v>
          </cell>
          <cell r="EA845">
            <v>133</v>
          </cell>
          <cell r="EB845">
            <v>45</v>
          </cell>
          <cell r="EC845">
            <v>7</v>
          </cell>
        </row>
        <row r="846">
          <cell r="B846">
            <v>301</v>
          </cell>
          <cell r="C846">
            <v>15340</v>
          </cell>
          <cell r="D846" t="str">
            <v>c</v>
          </cell>
          <cell r="G846" t="str">
            <v>西蒲原郡</v>
          </cell>
          <cell r="DF846">
            <v>1</v>
          </cell>
          <cell r="DI846">
            <v>154</v>
          </cell>
          <cell r="DJ846">
            <v>174</v>
          </cell>
          <cell r="DK846">
            <v>227</v>
          </cell>
          <cell r="DL846">
            <v>190</v>
          </cell>
          <cell r="DM846">
            <v>148</v>
          </cell>
          <cell r="DN846">
            <v>159</v>
          </cell>
          <cell r="DO846">
            <v>188</v>
          </cell>
          <cell r="DP846">
            <v>278</v>
          </cell>
          <cell r="DQ846">
            <v>323</v>
          </cell>
          <cell r="DR846">
            <v>246</v>
          </cell>
          <cell r="DS846">
            <v>255</v>
          </cell>
          <cell r="DT846">
            <v>264</v>
          </cell>
          <cell r="DU846">
            <v>348</v>
          </cell>
          <cell r="DV846">
            <v>331</v>
          </cell>
          <cell r="DW846">
            <v>253</v>
          </cell>
          <cell r="DX846">
            <v>240</v>
          </cell>
          <cell r="DY846">
            <v>206</v>
          </cell>
          <cell r="DZ846">
            <v>167</v>
          </cell>
          <cell r="EA846">
            <v>77</v>
          </cell>
          <cell r="EB846">
            <v>25</v>
          </cell>
          <cell r="EC846">
            <v>4</v>
          </cell>
        </row>
        <row r="847">
          <cell r="B847">
            <v>301</v>
          </cell>
          <cell r="C847">
            <v>15342</v>
          </cell>
          <cell r="D847">
            <v>3</v>
          </cell>
          <cell r="G847" t="str">
            <v>弥彦村</v>
          </cell>
          <cell r="DF847">
            <v>1</v>
          </cell>
          <cell r="DI847">
            <v>154</v>
          </cell>
          <cell r="DJ847">
            <v>174</v>
          </cell>
          <cell r="DK847">
            <v>227</v>
          </cell>
          <cell r="DL847">
            <v>190</v>
          </cell>
          <cell r="DM847">
            <v>148</v>
          </cell>
          <cell r="DN847">
            <v>159</v>
          </cell>
          <cell r="DO847">
            <v>188</v>
          </cell>
          <cell r="DP847">
            <v>278</v>
          </cell>
          <cell r="DQ847">
            <v>323</v>
          </cell>
          <cell r="DR847">
            <v>246</v>
          </cell>
          <cell r="DS847">
            <v>255</v>
          </cell>
          <cell r="DT847">
            <v>264</v>
          </cell>
          <cell r="DU847">
            <v>348</v>
          </cell>
          <cell r="DV847">
            <v>331</v>
          </cell>
          <cell r="DW847">
            <v>253</v>
          </cell>
          <cell r="DX847">
            <v>240</v>
          </cell>
          <cell r="DY847">
            <v>206</v>
          </cell>
          <cell r="DZ847">
            <v>167</v>
          </cell>
          <cell r="EA847">
            <v>77</v>
          </cell>
          <cell r="EB847">
            <v>25</v>
          </cell>
          <cell r="EC847">
            <v>4</v>
          </cell>
        </row>
        <row r="848">
          <cell r="B848">
            <v>301</v>
          </cell>
          <cell r="C848">
            <v>15360</v>
          </cell>
          <cell r="D848" t="str">
            <v>c</v>
          </cell>
          <cell r="G848" t="str">
            <v>南蒲原郡</v>
          </cell>
          <cell r="DF848" t="str">
            <v>-</v>
          </cell>
          <cell r="DI848">
            <v>166</v>
          </cell>
          <cell r="DJ848">
            <v>199</v>
          </cell>
          <cell r="DK848">
            <v>249</v>
          </cell>
          <cell r="DL848">
            <v>295</v>
          </cell>
          <cell r="DM848">
            <v>255</v>
          </cell>
          <cell r="DN848">
            <v>244</v>
          </cell>
          <cell r="DO848">
            <v>235</v>
          </cell>
          <cell r="DP848">
            <v>324</v>
          </cell>
          <cell r="DQ848">
            <v>392</v>
          </cell>
          <cell r="DR848">
            <v>380</v>
          </cell>
          <cell r="DS848">
            <v>373</v>
          </cell>
          <cell r="DT848">
            <v>398</v>
          </cell>
          <cell r="DU848">
            <v>551</v>
          </cell>
          <cell r="DV848">
            <v>562</v>
          </cell>
          <cell r="DW848">
            <v>421</v>
          </cell>
          <cell r="DX848">
            <v>386</v>
          </cell>
          <cell r="DY848">
            <v>361</v>
          </cell>
          <cell r="DZ848">
            <v>293</v>
          </cell>
          <cell r="EA848">
            <v>169</v>
          </cell>
          <cell r="EB848">
            <v>53</v>
          </cell>
          <cell r="EC848">
            <v>5</v>
          </cell>
        </row>
        <row r="849">
          <cell r="B849">
            <v>301</v>
          </cell>
          <cell r="C849">
            <v>15361</v>
          </cell>
          <cell r="D849">
            <v>3</v>
          </cell>
          <cell r="G849" t="str">
            <v>田上町</v>
          </cell>
          <cell r="DF849" t="str">
            <v>-</v>
          </cell>
          <cell r="DI849">
            <v>166</v>
          </cell>
          <cell r="DJ849">
            <v>199</v>
          </cell>
          <cell r="DK849">
            <v>249</v>
          </cell>
          <cell r="DL849">
            <v>295</v>
          </cell>
          <cell r="DM849">
            <v>255</v>
          </cell>
          <cell r="DN849">
            <v>244</v>
          </cell>
          <cell r="DO849">
            <v>235</v>
          </cell>
          <cell r="DP849">
            <v>324</v>
          </cell>
          <cell r="DQ849">
            <v>392</v>
          </cell>
          <cell r="DR849">
            <v>380</v>
          </cell>
          <cell r="DS849">
            <v>373</v>
          </cell>
          <cell r="DT849">
            <v>398</v>
          </cell>
          <cell r="DU849">
            <v>551</v>
          </cell>
          <cell r="DV849">
            <v>562</v>
          </cell>
          <cell r="DW849">
            <v>421</v>
          </cell>
          <cell r="DX849">
            <v>386</v>
          </cell>
          <cell r="DY849">
            <v>361</v>
          </cell>
          <cell r="DZ849">
            <v>293</v>
          </cell>
          <cell r="EA849">
            <v>169</v>
          </cell>
          <cell r="EB849">
            <v>53</v>
          </cell>
          <cell r="EC849">
            <v>5</v>
          </cell>
        </row>
        <row r="850">
          <cell r="B850">
            <v>301</v>
          </cell>
          <cell r="C850">
            <v>15380</v>
          </cell>
          <cell r="D850" t="str">
            <v>c</v>
          </cell>
          <cell r="G850" t="str">
            <v>東蒲原郡</v>
          </cell>
          <cell r="DF850" t="str">
            <v>-</v>
          </cell>
          <cell r="DI850">
            <v>105</v>
          </cell>
          <cell r="DJ850">
            <v>130</v>
          </cell>
          <cell r="DK850">
            <v>211</v>
          </cell>
          <cell r="DL850">
            <v>229</v>
          </cell>
          <cell r="DM850">
            <v>127</v>
          </cell>
          <cell r="DN850">
            <v>132</v>
          </cell>
          <cell r="DO850">
            <v>168</v>
          </cell>
          <cell r="DP850">
            <v>220</v>
          </cell>
          <cell r="DQ850">
            <v>279</v>
          </cell>
          <cell r="DR850">
            <v>277</v>
          </cell>
          <cell r="DS850">
            <v>310</v>
          </cell>
          <cell r="DT850">
            <v>349</v>
          </cell>
          <cell r="DU850">
            <v>447</v>
          </cell>
          <cell r="DV850">
            <v>480</v>
          </cell>
          <cell r="DW850">
            <v>505</v>
          </cell>
          <cell r="DX850">
            <v>673</v>
          </cell>
          <cell r="DY850">
            <v>643</v>
          </cell>
          <cell r="DZ850">
            <v>471</v>
          </cell>
          <cell r="EA850">
            <v>249</v>
          </cell>
          <cell r="EB850">
            <v>61</v>
          </cell>
          <cell r="EC850">
            <v>16</v>
          </cell>
        </row>
        <row r="851">
          <cell r="B851">
            <v>301</v>
          </cell>
          <cell r="C851">
            <v>15385</v>
          </cell>
          <cell r="D851">
            <v>3</v>
          </cell>
          <cell r="G851" t="str">
            <v>阿賀町</v>
          </cell>
          <cell r="DF851" t="str">
            <v>-</v>
          </cell>
          <cell r="DI851">
            <v>105</v>
          </cell>
          <cell r="DJ851">
            <v>130</v>
          </cell>
          <cell r="DK851">
            <v>211</v>
          </cell>
          <cell r="DL851">
            <v>229</v>
          </cell>
          <cell r="DM851">
            <v>127</v>
          </cell>
          <cell r="DN851">
            <v>132</v>
          </cell>
          <cell r="DO851">
            <v>168</v>
          </cell>
          <cell r="DP851">
            <v>220</v>
          </cell>
          <cell r="DQ851">
            <v>279</v>
          </cell>
          <cell r="DR851">
            <v>277</v>
          </cell>
          <cell r="DS851">
            <v>310</v>
          </cell>
          <cell r="DT851">
            <v>349</v>
          </cell>
          <cell r="DU851">
            <v>447</v>
          </cell>
          <cell r="DV851">
            <v>480</v>
          </cell>
          <cell r="DW851">
            <v>505</v>
          </cell>
          <cell r="DX851">
            <v>673</v>
          </cell>
          <cell r="DY851">
            <v>643</v>
          </cell>
          <cell r="DZ851">
            <v>471</v>
          </cell>
          <cell r="EA851">
            <v>249</v>
          </cell>
          <cell r="EB851">
            <v>61</v>
          </cell>
          <cell r="EC851">
            <v>16</v>
          </cell>
        </row>
        <row r="852">
          <cell r="B852">
            <v>301</v>
          </cell>
          <cell r="C852">
            <v>15385</v>
          </cell>
          <cell r="D852">
            <v>9</v>
          </cell>
          <cell r="G852" t="str">
            <v>　　(旧 381 津川町)</v>
          </cell>
          <cell r="DF852" t="str">
            <v>-</v>
          </cell>
          <cell r="DI852">
            <v>35</v>
          </cell>
          <cell r="DJ852">
            <v>41</v>
          </cell>
          <cell r="DK852">
            <v>80</v>
          </cell>
          <cell r="DL852">
            <v>94</v>
          </cell>
          <cell r="DM852">
            <v>46</v>
          </cell>
          <cell r="DN852">
            <v>42</v>
          </cell>
          <cell r="DO852">
            <v>69</v>
          </cell>
          <cell r="DP852">
            <v>71</v>
          </cell>
          <cell r="DQ852">
            <v>124</v>
          </cell>
          <cell r="DR852">
            <v>110</v>
          </cell>
          <cell r="DS852">
            <v>100</v>
          </cell>
          <cell r="DT852">
            <v>118</v>
          </cell>
          <cell r="DU852">
            <v>149</v>
          </cell>
          <cell r="DV852">
            <v>166</v>
          </cell>
          <cell r="DW852">
            <v>183</v>
          </cell>
          <cell r="DX852">
            <v>210</v>
          </cell>
          <cell r="DY852">
            <v>188</v>
          </cell>
          <cell r="DZ852">
            <v>145</v>
          </cell>
          <cell r="EA852">
            <v>71</v>
          </cell>
          <cell r="EB852">
            <v>17</v>
          </cell>
          <cell r="EC852">
            <v>7</v>
          </cell>
        </row>
        <row r="853">
          <cell r="B853">
            <v>301</v>
          </cell>
          <cell r="C853">
            <v>15385</v>
          </cell>
          <cell r="D853">
            <v>9</v>
          </cell>
          <cell r="G853" t="str">
            <v>　　(旧 382 鹿瀬町)</v>
          </cell>
          <cell r="DF853" t="str">
            <v>-</v>
          </cell>
          <cell r="DI853">
            <v>12</v>
          </cell>
          <cell r="DJ853">
            <v>19</v>
          </cell>
          <cell r="DK853">
            <v>33</v>
          </cell>
          <cell r="DL853">
            <v>34</v>
          </cell>
          <cell r="DM853">
            <v>14</v>
          </cell>
          <cell r="DN853">
            <v>13</v>
          </cell>
          <cell r="DO853">
            <v>21</v>
          </cell>
          <cell r="DP853">
            <v>29</v>
          </cell>
          <cell r="DQ853">
            <v>46</v>
          </cell>
          <cell r="DR853">
            <v>37</v>
          </cell>
          <cell r="DS853">
            <v>37</v>
          </cell>
          <cell r="DT853">
            <v>42</v>
          </cell>
          <cell r="DU853">
            <v>75</v>
          </cell>
          <cell r="DV853">
            <v>94</v>
          </cell>
          <cell r="DW853">
            <v>98</v>
          </cell>
          <cell r="DX853">
            <v>147</v>
          </cell>
          <cell r="DY853">
            <v>135</v>
          </cell>
          <cell r="DZ853">
            <v>93</v>
          </cell>
          <cell r="EA853">
            <v>40</v>
          </cell>
          <cell r="EB853">
            <v>12</v>
          </cell>
          <cell r="EC853">
            <v>2</v>
          </cell>
        </row>
        <row r="854">
          <cell r="B854">
            <v>301</v>
          </cell>
          <cell r="C854">
            <v>15385</v>
          </cell>
          <cell r="D854">
            <v>9</v>
          </cell>
          <cell r="G854" t="str">
            <v>　　(旧 383 上川村)</v>
          </cell>
          <cell r="DF854" t="str">
            <v>-</v>
          </cell>
          <cell r="DI854">
            <v>23</v>
          </cell>
          <cell r="DJ854">
            <v>31</v>
          </cell>
          <cell r="DK854">
            <v>47</v>
          </cell>
          <cell r="DL854">
            <v>56</v>
          </cell>
          <cell r="DM854">
            <v>29</v>
          </cell>
          <cell r="DN854">
            <v>34</v>
          </cell>
          <cell r="DO854">
            <v>30</v>
          </cell>
          <cell r="DP854">
            <v>63</v>
          </cell>
          <cell r="DQ854">
            <v>49</v>
          </cell>
          <cell r="DR854">
            <v>64</v>
          </cell>
          <cell r="DS854">
            <v>70</v>
          </cell>
          <cell r="DT854">
            <v>81</v>
          </cell>
          <cell r="DU854">
            <v>103</v>
          </cell>
          <cell r="DV854">
            <v>96</v>
          </cell>
          <cell r="DW854">
            <v>96</v>
          </cell>
          <cell r="DX854">
            <v>129</v>
          </cell>
          <cell r="DY854">
            <v>132</v>
          </cell>
          <cell r="DZ854">
            <v>88</v>
          </cell>
          <cell r="EA854">
            <v>52</v>
          </cell>
          <cell r="EB854">
            <v>9</v>
          </cell>
          <cell r="EC854">
            <v>1</v>
          </cell>
        </row>
        <row r="855">
          <cell r="B855">
            <v>301</v>
          </cell>
          <cell r="C855">
            <v>15385</v>
          </cell>
          <cell r="D855">
            <v>9</v>
          </cell>
          <cell r="G855" t="str">
            <v>　　(旧 384 三川村)</v>
          </cell>
          <cell r="DF855" t="str">
            <v>-</v>
          </cell>
          <cell r="DI855">
            <v>35</v>
          </cell>
          <cell r="DJ855">
            <v>39</v>
          </cell>
          <cell r="DK855">
            <v>51</v>
          </cell>
          <cell r="DL855">
            <v>45</v>
          </cell>
          <cell r="DM855">
            <v>38</v>
          </cell>
          <cell r="DN855">
            <v>43</v>
          </cell>
          <cell r="DO855">
            <v>48</v>
          </cell>
          <cell r="DP855">
            <v>57</v>
          </cell>
          <cell r="DQ855">
            <v>60</v>
          </cell>
          <cell r="DR855">
            <v>66</v>
          </cell>
          <cell r="DS855">
            <v>103</v>
          </cell>
          <cell r="DT855">
            <v>108</v>
          </cell>
          <cell r="DU855">
            <v>120</v>
          </cell>
          <cell r="DV855">
            <v>124</v>
          </cell>
          <cell r="DW855">
            <v>128</v>
          </cell>
          <cell r="DX855">
            <v>187</v>
          </cell>
          <cell r="DY855">
            <v>188</v>
          </cell>
          <cell r="DZ855">
            <v>145</v>
          </cell>
          <cell r="EA855">
            <v>86</v>
          </cell>
          <cell r="EB855">
            <v>23</v>
          </cell>
          <cell r="EC855">
            <v>6</v>
          </cell>
        </row>
        <row r="856">
          <cell r="B856">
            <v>301</v>
          </cell>
          <cell r="C856">
            <v>15400</v>
          </cell>
          <cell r="D856" t="str">
            <v>c</v>
          </cell>
          <cell r="G856" t="str">
            <v>三島郡</v>
          </cell>
          <cell r="DF856" t="str">
            <v>-</v>
          </cell>
          <cell r="DI856">
            <v>76</v>
          </cell>
          <cell r="DJ856">
            <v>75</v>
          </cell>
          <cell r="DK856">
            <v>67</v>
          </cell>
          <cell r="DL856">
            <v>85</v>
          </cell>
          <cell r="DM856">
            <v>67</v>
          </cell>
          <cell r="DN856">
            <v>72</v>
          </cell>
          <cell r="DO856">
            <v>86</v>
          </cell>
          <cell r="DP856">
            <v>92</v>
          </cell>
          <cell r="DQ856">
            <v>106</v>
          </cell>
          <cell r="DR856">
            <v>118</v>
          </cell>
          <cell r="DS856">
            <v>140</v>
          </cell>
          <cell r="DT856">
            <v>136</v>
          </cell>
          <cell r="DU856">
            <v>179</v>
          </cell>
          <cell r="DV856">
            <v>203</v>
          </cell>
          <cell r="DW856">
            <v>151</v>
          </cell>
          <cell r="DX856">
            <v>190</v>
          </cell>
          <cell r="DY856">
            <v>207</v>
          </cell>
          <cell r="DZ856">
            <v>195</v>
          </cell>
          <cell r="EA856">
            <v>90</v>
          </cell>
          <cell r="EB856">
            <v>32</v>
          </cell>
          <cell r="EC856">
            <v>5</v>
          </cell>
        </row>
        <row r="857">
          <cell r="B857">
            <v>301</v>
          </cell>
          <cell r="C857">
            <v>15405</v>
          </cell>
          <cell r="D857">
            <v>3</v>
          </cell>
          <cell r="G857" t="str">
            <v>出雲崎町</v>
          </cell>
          <cell r="DF857" t="str">
            <v>-</v>
          </cell>
          <cell r="DI857">
            <v>76</v>
          </cell>
          <cell r="DJ857">
            <v>75</v>
          </cell>
          <cell r="DK857">
            <v>67</v>
          </cell>
          <cell r="DL857">
            <v>85</v>
          </cell>
          <cell r="DM857">
            <v>67</v>
          </cell>
          <cell r="DN857">
            <v>72</v>
          </cell>
          <cell r="DO857">
            <v>86</v>
          </cell>
          <cell r="DP857">
            <v>92</v>
          </cell>
          <cell r="DQ857">
            <v>106</v>
          </cell>
          <cell r="DR857">
            <v>118</v>
          </cell>
          <cell r="DS857">
            <v>140</v>
          </cell>
          <cell r="DT857">
            <v>136</v>
          </cell>
          <cell r="DU857">
            <v>179</v>
          </cell>
          <cell r="DV857">
            <v>203</v>
          </cell>
          <cell r="DW857">
            <v>151</v>
          </cell>
          <cell r="DX857">
            <v>190</v>
          </cell>
          <cell r="DY857">
            <v>207</v>
          </cell>
          <cell r="DZ857">
            <v>195</v>
          </cell>
          <cell r="EA857">
            <v>90</v>
          </cell>
          <cell r="EB857">
            <v>32</v>
          </cell>
          <cell r="EC857">
            <v>5</v>
          </cell>
        </row>
        <row r="858">
          <cell r="B858">
            <v>301</v>
          </cell>
          <cell r="C858">
            <v>15460</v>
          </cell>
          <cell r="D858" t="str">
            <v>c</v>
          </cell>
          <cell r="G858" t="str">
            <v>南魚沼郡</v>
          </cell>
          <cell r="DF858" t="str">
            <v>-</v>
          </cell>
          <cell r="DI858">
            <v>119</v>
          </cell>
          <cell r="DJ858">
            <v>128</v>
          </cell>
          <cell r="DK858">
            <v>141</v>
          </cell>
          <cell r="DL858">
            <v>162</v>
          </cell>
          <cell r="DM858">
            <v>143</v>
          </cell>
          <cell r="DN858">
            <v>143</v>
          </cell>
          <cell r="DO858">
            <v>166</v>
          </cell>
          <cell r="DP858">
            <v>195</v>
          </cell>
          <cell r="DQ858">
            <v>244</v>
          </cell>
          <cell r="DR858">
            <v>237</v>
          </cell>
          <cell r="DS858">
            <v>227</v>
          </cell>
          <cell r="DT858">
            <v>260</v>
          </cell>
          <cell r="DU858">
            <v>327</v>
          </cell>
          <cell r="DV858">
            <v>342</v>
          </cell>
          <cell r="DW858">
            <v>302</v>
          </cell>
          <cell r="DX858">
            <v>273</v>
          </cell>
          <cell r="DY858">
            <v>263</v>
          </cell>
          <cell r="DZ858">
            <v>178</v>
          </cell>
          <cell r="EA858">
            <v>115</v>
          </cell>
          <cell r="EB858">
            <v>30</v>
          </cell>
          <cell r="EC858">
            <v>1</v>
          </cell>
        </row>
        <row r="859">
          <cell r="B859">
            <v>301</v>
          </cell>
          <cell r="C859">
            <v>15461</v>
          </cell>
          <cell r="D859">
            <v>3</v>
          </cell>
          <cell r="G859" t="str">
            <v>湯沢町</v>
          </cell>
          <cell r="DF859" t="str">
            <v>-</v>
          </cell>
          <cell r="DI859">
            <v>119</v>
          </cell>
          <cell r="DJ859">
            <v>128</v>
          </cell>
          <cell r="DK859">
            <v>141</v>
          </cell>
          <cell r="DL859">
            <v>162</v>
          </cell>
          <cell r="DM859">
            <v>143</v>
          </cell>
          <cell r="DN859">
            <v>143</v>
          </cell>
          <cell r="DO859">
            <v>166</v>
          </cell>
          <cell r="DP859">
            <v>195</v>
          </cell>
          <cell r="DQ859">
            <v>244</v>
          </cell>
          <cell r="DR859">
            <v>237</v>
          </cell>
          <cell r="DS859">
            <v>227</v>
          </cell>
          <cell r="DT859">
            <v>260</v>
          </cell>
          <cell r="DU859">
            <v>327</v>
          </cell>
          <cell r="DV859">
            <v>342</v>
          </cell>
          <cell r="DW859">
            <v>302</v>
          </cell>
          <cell r="DX859">
            <v>273</v>
          </cell>
          <cell r="DY859">
            <v>263</v>
          </cell>
          <cell r="DZ859">
            <v>178</v>
          </cell>
          <cell r="EA859">
            <v>115</v>
          </cell>
          <cell r="EB859">
            <v>30</v>
          </cell>
          <cell r="EC859">
            <v>1</v>
          </cell>
        </row>
        <row r="860">
          <cell r="B860">
            <v>301</v>
          </cell>
          <cell r="C860">
            <v>15480</v>
          </cell>
          <cell r="D860" t="str">
            <v>c</v>
          </cell>
          <cell r="G860" t="str">
            <v>中魚沼郡</v>
          </cell>
          <cell r="DF860" t="str">
            <v>-</v>
          </cell>
          <cell r="DI860">
            <v>148</v>
          </cell>
          <cell r="DJ860">
            <v>146</v>
          </cell>
          <cell r="DK860">
            <v>186</v>
          </cell>
          <cell r="DL860">
            <v>171</v>
          </cell>
          <cell r="DM860">
            <v>105</v>
          </cell>
          <cell r="DN860">
            <v>173</v>
          </cell>
          <cell r="DO860">
            <v>191</v>
          </cell>
          <cell r="DP860">
            <v>213</v>
          </cell>
          <cell r="DQ860">
            <v>231</v>
          </cell>
          <cell r="DR860">
            <v>266</v>
          </cell>
          <cell r="DS860">
            <v>267</v>
          </cell>
          <cell r="DT860">
            <v>398</v>
          </cell>
          <cell r="DU860">
            <v>413</v>
          </cell>
          <cell r="DV860">
            <v>340</v>
          </cell>
          <cell r="DW860">
            <v>320</v>
          </cell>
          <cell r="DX860">
            <v>358</v>
          </cell>
          <cell r="DY860">
            <v>451</v>
          </cell>
          <cell r="DZ860">
            <v>436</v>
          </cell>
          <cell r="EA860">
            <v>295</v>
          </cell>
          <cell r="EB860">
            <v>91</v>
          </cell>
          <cell r="EC860">
            <v>20</v>
          </cell>
        </row>
        <row r="861">
          <cell r="B861">
            <v>301</v>
          </cell>
          <cell r="C861">
            <v>15482</v>
          </cell>
          <cell r="D861">
            <v>3</v>
          </cell>
          <cell r="G861" t="str">
            <v>津南町</v>
          </cell>
          <cell r="DF861" t="str">
            <v>-</v>
          </cell>
          <cell r="DI861">
            <v>148</v>
          </cell>
          <cell r="DJ861">
            <v>146</v>
          </cell>
          <cell r="DK861">
            <v>186</v>
          </cell>
          <cell r="DL861">
            <v>171</v>
          </cell>
          <cell r="DM861">
            <v>105</v>
          </cell>
          <cell r="DN861">
            <v>173</v>
          </cell>
          <cell r="DO861">
            <v>191</v>
          </cell>
          <cell r="DP861">
            <v>213</v>
          </cell>
          <cell r="DQ861">
            <v>231</v>
          </cell>
          <cell r="DR861">
            <v>266</v>
          </cell>
          <cell r="DS861">
            <v>267</v>
          </cell>
          <cell r="DT861">
            <v>398</v>
          </cell>
          <cell r="DU861">
            <v>413</v>
          </cell>
          <cell r="DV861">
            <v>340</v>
          </cell>
          <cell r="DW861">
            <v>320</v>
          </cell>
          <cell r="DX861">
            <v>358</v>
          </cell>
          <cell r="DY861">
            <v>451</v>
          </cell>
          <cell r="DZ861">
            <v>436</v>
          </cell>
          <cell r="EA861">
            <v>295</v>
          </cell>
          <cell r="EB861">
            <v>91</v>
          </cell>
          <cell r="EC861">
            <v>20</v>
          </cell>
        </row>
        <row r="862">
          <cell r="B862">
            <v>301</v>
          </cell>
          <cell r="C862">
            <v>15500</v>
          </cell>
          <cell r="D862" t="str">
            <v>c</v>
          </cell>
          <cell r="G862" t="str">
            <v>刈羽郡</v>
          </cell>
          <cell r="DF862" t="str">
            <v>-</v>
          </cell>
          <cell r="DI862">
            <v>89</v>
          </cell>
          <cell r="DJ862">
            <v>100</v>
          </cell>
          <cell r="DK862">
            <v>98</v>
          </cell>
          <cell r="DL862">
            <v>86</v>
          </cell>
          <cell r="DM862">
            <v>71</v>
          </cell>
          <cell r="DN862">
            <v>99</v>
          </cell>
          <cell r="DO862">
            <v>127</v>
          </cell>
          <cell r="DP862">
            <v>135</v>
          </cell>
          <cell r="DQ862">
            <v>130</v>
          </cell>
          <cell r="DR862">
            <v>117</v>
          </cell>
          <cell r="DS862">
            <v>138</v>
          </cell>
          <cell r="DT862">
            <v>173</v>
          </cell>
          <cell r="DU862">
            <v>211</v>
          </cell>
          <cell r="DV862">
            <v>167</v>
          </cell>
          <cell r="DW862">
            <v>138</v>
          </cell>
          <cell r="DX862">
            <v>130</v>
          </cell>
          <cell r="DY862">
            <v>135</v>
          </cell>
          <cell r="DZ862">
            <v>83</v>
          </cell>
          <cell r="EA862">
            <v>58</v>
          </cell>
          <cell r="EB862">
            <v>12</v>
          </cell>
          <cell r="EC862">
            <v>2</v>
          </cell>
        </row>
        <row r="863">
          <cell r="B863">
            <v>301</v>
          </cell>
          <cell r="C863">
            <v>15504</v>
          </cell>
          <cell r="D863">
            <v>3</v>
          </cell>
          <cell r="G863" t="str">
            <v>刈羽村</v>
          </cell>
          <cell r="DF863" t="str">
            <v>-</v>
          </cell>
          <cell r="DI863">
            <v>89</v>
          </cell>
          <cell r="DJ863">
            <v>100</v>
          </cell>
          <cell r="DK863">
            <v>98</v>
          </cell>
          <cell r="DL863">
            <v>86</v>
          </cell>
          <cell r="DM863">
            <v>71</v>
          </cell>
          <cell r="DN863">
            <v>99</v>
          </cell>
          <cell r="DO863">
            <v>127</v>
          </cell>
          <cell r="DP863">
            <v>135</v>
          </cell>
          <cell r="DQ863">
            <v>130</v>
          </cell>
          <cell r="DR863">
            <v>117</v>
          </cell>
          <cell r="DS863">
            <v>138</v>
          </cell>
          <cell r="DT863">
            <v>173</v>
          </cell>
          <cell r="DU863">
            <v>211</v>
          </cell>
          <cell r="DV863">
            <v>167</v>
          </cell>
          <cell r="DW863">
            <v>138</v>
          </cell>
          <cell r="DX863">
            <v>130</v>
          </cell>
          <cell r="DY863">
            <v>135</v>
          </cell>
          <cell r="DZ863">
            <v>83</v>
          </cell>
          <cell r="EA863">
            <v>58</v>
          </cell>
          <cell r="EB863">
            <v>12</v>
          </cell>
          <cell r="EC863">
            <v>2</v>
          </cell>
        </row>
        <row r="864">
          <cell r="B864">
            <v>301</v>
          </cell>
          <cell r="C864">
            <v>15580</v>
          </cell>
          <cell r="D864" t="str">
            <v>c</v>
          </cell>
          <cell r="G864" t="str">
            <v>岩船郡</v>
          </cell>
          <cell r="DF864" t="str">
            <v>-</v>
          </cell>
          <cell r="DI864">
            <v>81</v>
          </cell>
          <cell r="DJ864">
            <v>98</v>
          </cell>
          <cell r="DK864">
            <v>124</v>
          </cell>
          <cell r="DL864">
            <v>112</v>
          </cell>
          <cell r="DM864">
            <v>88</v>
          </cell>
          <cell r="DN864">
            <v>100</v>
          </cell>
          <cell r="DO864">
            <v>98</v>
          </cell>
          <cell r="DP864">
            <v>128</v>
          </cell>
          <cell r="DQ864">
            <v>150</v>
          </cell>
          <cell r="DR864">
            <v>149</v>
          </cell>
          <cell r="DS864">
            <v>204</v>
          </cell>
          <cell r="DT864">
            <v>209</v>
          </cell>
          <cell r="DU864">
            <v>256</v>
          </cell>
          <cell r="DV864">
            <v>246</v>
          </cell>
          <cell r="DW864">
            <v>238</v>
          </cell>
          <cell r="DX864">
            <v>275</v>
          </cell>
          <cell r="DY864">
            <v>322</v>
          </cell>
          <cell r="DZ864">
            <v>225</v>
          </cell>
          <cell r="EA864">
            <v>128</v>
          </cell>
          <cell r="EB864">
            <v>25</v>
          </cell>
          <cell r="EC864">
            <v>4</v>
          </cell>
        </row>
        <row r="865">
          <cell r="B865">
            <v>301</v>
          </cell>
          <cell r="C865">
            <v>15581</v>
          </cell>
          <cell r="D865">
            <v>3</v>
          </cell>
          <cell r="G865" t="str">
            <v>関川村</v>
          </cell>
          <cell r="DF865" t="str">
            <v>-</v>
          </cell>
          <cell r="DI865">
            <v>75</v>
          </cell>
          <cell r="DJ865">
            <v>93</v>
          </cell>
          <cell r="DK865">
            <v>119</v>
          </cell>
          <cell r="DL865">
            <v>105</v>
          </cell>
          <cell r="DM865">
            <v>82</v>
          </cell>
          <cell r="DN865">
            <v>92</v>
          </cell>
          <cell r="DO865">
            <v>93</v>
          </cell>
          <cell r="DP865">
            <v>123</v>
          </cell>
          <cell r="DQ865">
            <v>146</v>
          </cell>
          <cell r="DR865">
            <v>144</v>
          </cell>
          <cell r="DS865">
            <v>193</v>
          </cell>
          <cell r="DT865">
            <v>197</v>
          </cell>
          <cell r="DU865">
            <v>239</v>
          </cell>
          <cell r="DV865">
            <v>238</v>
          </cell>
          <cell r="DW865">
            <v>222</v>
          </cell>
          <cell r="DX865">
            <v>254</v>
          </cell>
          <cell r="DY865">
            <v>299</v>
          </cell>
          <cell r="DZ865">
            <v>210</v>
          </cell>
          <cell r="EA865">
            <v>122</v>
          </cell>
          <cell r="EB865">
            <v>24</v>
          </cell>
          <cell r="EC865">
            <v>4</v>
          </cell>
        </row>
        <row r="866">
          <cell r="B866">
            <v>301</v>
          </cell>
          <cell r="C866">
            <v>15586</v>
          </cell>
          <cell r="D866">
            <v>3</v>
          </cell>
          <cell r="G866" t="str">
            <v>粟島浦村</v>
          </cell>
          <cell r="DF866" t="str">
            <v>-</v>
          </cell>
          <cell r="DI866">
            <v>6</v>
          </cell>
          <cell r="DJ866">
            <v>5</v>
          </cell>
          <cell r="DK866">
            <v>5</v>
          </cell>
          <cell r="DL866">
            <v>7</v>
          </cell>
          <cell r="DM866">
            <v>6</v>
          </cell>
          <cell r="DN866">
            <v>8</v>
          </cell>
          <cell r="DO866">
            <v>5</v>
          </cell>
          <cell r="DP866">
            <v>5</v>
          </cell>
          <cell r="DQ866">
            <v>4</v>
          </cell>
          <cell r="DR866">
            <v>5</v>
          </cell>
          <cell r="DS866">
            <v>11</v>
          </cell>
          <cell r="DT866">
            <v>12</v>
          </cell>
          <cell r="DU866">
            <v>17</v>
          </cell>
          <cell r="DV866">
            <v>8</v>
          </cell>
          <cell r="DW866">
            <v>16</v>
          </cell>
          <cell r="DX866">
            <v>21</v>
          </cell>
          <cell r="DY866">
            <v>23</v>
          </cell>
          <cell r="DZ866">
            <v>15</v>
          </cell>
          <cell r="EA866">
            <v>6</v>
          </cell>
          <cell r="EB866">
            <v>1</v>
          </cell>
          <cell r="EC866" t="str">
            <v>-</v>
          </cell>
        </row>
        <row r="867">
          <cell r="B867">
            <v>301</v>
          </cell>
          <cell r="C867">
            <v>15000</v>
          </cell>
          <cell r="D867" t="str">
            <v>d</v>
          </cell>
          <cell r="G867" t="str">
            <v>新潟県　人口集中地区</v>
          </cell>
          <cell r="DF867">
            <v>3080</v>
          </cell>
          <cell r="DI867">
            <v>20969</v>
          </cell>
          <cell r="DJ867">
            <v>22674</v>
          </cell>
          <cell r="DK867">
            <v>23920</v>
          </cell>
          <cell r="DL867">
            <v>26323</v>
          </cell>
          <cell r="DM867">
            <v>25147</v>
          </cell>
          <cell r="DN867">
            <v>26618</v>
          </cell>
          <cell r="DO867">
            <v>30592</v>
          </cell>
          <cell r="DP867">
            <v>36385</v>
          </cell>
          <cell r="DQ867">
            <v>42102</v>
          </cell>
          <cell r="DR867">
            <v>37357</v>
          </cell>
          <cell r="DS867">
            <v>34518</v>
          </cell>
          <cell r="DT867">
            <v>33922</v>
          </cell>
          <cell r="DU867">
            <v>40021</v>
          </cell>
          <cell r="DV867">
            <v>46019</v>
          </cell>
          <cell r="DW867">
            <v>36946</v>
          </cell>
          <cell r="DX867">
            <v>33338</v>
          </cell>
          <cell r="DY867">
            <v>28582</v>
          </cell>
          <cell r="DZ867">
            <v>19939</v>
          </cell>
          <cell r="EA867">
            <v>9484</v>
          </cell>
          <cell r="EB867">
            <v>2706</v>
          </cell>
          <cell r="EC867">
            <v>420</v>
          </cell>
        </row>
        <row r="868">
          <cell r="B868">
            <v>301</v>
          </cell>
          <cell r="C868">
            <v>15100</v>
          </cell>
          <cell r="D868" t="str">
            <v>d</v>
          </cell>
          <cell r="G868" t="str">
            <v>新潟市　人口集中地区</v>
          </cell>
          <cell r="DF868">
            <v>2124</v>
          </cell>
          <cell r="DI868">
            <v>11200</v>
          </cell>
          <cell r="DJ868">
            <v>12038</v>
          </cell>
          <cell r="DK868">
            <v>12293</v>
          </cell>
          <cell r="DL868">
            <v>14405</v>
          </cell>
          <cell r="DM868">
            <v>15261</v>
          </cell>
          <cell r="DN868">
            <v>14918</v>
          </cell>
          <cell r="DO868">
            <v>17047</v>
          </cell>
          <cell r="DP868">
            <v>20057</v>
          </cell>
          <cell r="DQ868">
            <v>23192</v>
          </cell>
          <cell r="DR868">
            <v>20127</v>
          </cell>
          <cell r="DS868">
            <v>18297</v>
          </cell>
          <cell r="DT868">
            <v>17600</v>
          </cell>
          <cell r="DU868">
            <v>20643</v>
          </cell>
          <cell r="DV868">
            <v>23768</v>
          </cell>
          <cell r="DW868">
            <v>18686</v>
          </cell>
          <cell r="DX868">
            <v>16174</v>
          </cell>
          <cell r="DY868">
            <v>13882</v>
          </cell>
          <cell r="DZ868">
            <v>9589</v>
          </cell>
          <cell r="EA868">
            <v>4493</v>
          </cell>
          <cell r="EB868">
            <v>1293</v>
          </cell>
          <cell r="EC868">
            <v>205</v>
          </cell>
        </row>
        <row r="869">
          <cell r="B869">
            <v>301</v>
          </cell>
          <cell r="C869">
            <v>15101</v>
          </cell>
          <cell r="D869" t="str">
            <v>d</v>
          </cell>
          <cell r="G869" t="str">
            <v>新潟市 北区　人口集中地区</v>
          </cell>
          <cell r="DF869">
            <v>112</v>
          </cell>
          <cell r="DI869">
            <v>702</v>
          </cell>
          <cell r="DJ869">
            <v>881</v>
          </cell>
          <cell r="DK869">
            <v>935</v>
          </cell>
          <cell r="DL869">
            <v>1199</v>
          </cell>
          <cell r="DM869">
            <v>1126</v>
          </cell>
          <cell r="DN869">
            <v>838</v>
          </cell>
          <cell r="DO869">
            <v>1033</v>
          </cell>
          <cell r="DP869">
            <v>1279</v>
          </cell>
          <cell r="DQ869">
            <v>1566</v>
          </cell>
          <cell r="DR869">
            <v>1330</v>
          </cell>
          <cell r="DS869">
            <v>1230</v>
          </cell>
          <cell r="DT869">
            <v>1227</v>
          </cell>
          <cell r="DU869">
            <v>1571</v>
          </cell>
          <cell r="DV869">
            <v>1886</v>
          </cell>
          <cell r="DW869">
            <v>1308</v>
          </cell>
          <cell r="DX869">
            <v>1027</v>
          </cell>
          <cell r="DY869">
            <v>833</v>
          </cell>
          <cell r="DZ869">
            <v>520</v>
          </cell>
          <cell r="EA869">
            <v>216</v>
          </cell>
          <cell r="EB869">
            <v>54</v>
          </cell>
          <cell r="EC869">
            <v>11</v>
          </cell>
        </row>
        <row r="870">
          <cell r="B870">
            <v>301</v>
          </cell>
          <cell r="C870">
            <v>15102</v>
          </cell>
          <cell r="D870" t="str">
            <v>d</v>
          </cell>
          <cell r="G870" t="str">
            <v>新潟市 東区　人口集中地区</v>
          </cell>
          <cell r="DF870">
            <v>336</v>
          </cell>
          <cell r="DI870">
            <v>2451</v>
          </cell>
          <cell r="DJ870">
            <v>2627</v>
          </cell>
          <cell r="DK870">
            <v>2709</v>
          </cell>
          <cell r="DL870">
            <v>2967</v>
          </cell>
          <cell r="DM870">
            <v>2895</v>
          </cell>
          <cell r="DN870">
            <v>3314</v>
          </cell>
          <cell r="DO870">
            <v>3900</v>
          </cell>
          <cell r="DP870">
            <v>4406</v>
          </cell>
          <cell r="DQ870">
            <v>5071</v>
          </cell>
          <cell r="DR870">
            <v>4447</v>
          </cell>
          <cell r="DS870">
            <v>3942</v>
          </cell>
          <cell r="DT870">
            <v>3847</v>
          </cell>
          <cell r="DU870">
            <v>4721</v>
          </cell>
          <cell r="DV870">
            <v>5272</v>
          </cell>
          <cell r="DW870">
            <v>4261</v>
          </cell>
          <cell r="DX870">
            <v>3682</v>
          </cell>
          <cell r="DY870">
            <v>2973</v>
          </cell>
          <cell r="DZ870">
            <v>1976</v>
          </cell>
          <cell r="EA870">
            <v>899</v>
          </cell>
          <cell r="EB870">
            <v>274</v>
          </cell>
          <cell r="EC870">
            <v>27</v>
          </cell>
        </row>
        <row r="871">
          <cell r="B871">
            <v>301</v>
          </cell>
          <cell r="C871">
            <v>15103</v>
          </cell>
          <cell r="D871" t="str">
            <v>d</v>
          </cell>
          <cell r="G871" t="str">
            <v>新潟市 中央区　人口集中地区</v>
          </cell>
          <cell r="DF871">
            <v>1102</v>
          </cell>
          <cell r="DI871">
            <v>3393</v>
          </cell>
          <cell r="DJ871">
            <v>3355</v>
          </cell>
          <cell r="DK871">
            <v>3366</v>
          </cell>
          <cell r="DL871">
            <v>4332</v>
          </cell>
          <cell r="DM871">
            <v>5260</v>
          </cell>
          <cell r="DN871">
            <v>5154</v>
          </cell>
          <cell r="DO871">
            <v>5569</v>
          </cell>
          <cell r="DP871">
            <v>6388</v>
          </cell>
          <cell r="DQ871">
            <v>7425</v>
          </cell>
          <cell r="DR871">
            <v>6571</v>
          </cell>
          <cell r="DS871">
            <v>5907</v>
          </cell>
          <cell r="DT871">
            <v>5297</v>
          </cell>
          <cell r="DU871">
            <v>5769</v>
          </cell>
          <cell r="DV871">
            <v>6835</v>
          </cell>
          <cell r="DW871">
            <v>5344</v>
          </cell>
          <cell r="DX871">
            <v>4830</v>
          </cell>
          <cell r="DY871">
            <v>4212</v>
          </cell>
          <cell r="DZ871">
            <v>3015</v>
          </cell>
          <cell r="EA871">
            <v>1541</v>
          </cell>
          <cell r="EB871">
            <v>468</v>
          </cell>
          <cell r="EC871">
            <v>78</v>
          </cell>
        </row>
        <row r="872">
          <cell r="B872">
            <v>301</v>
          </cell>
          <cell r="C872">
            <v>15104</v>
          </cell>
          <cell r="D872" t="str">
            <v>d</v>
          </cell>
          <cell r="G872" t="str">
            <v>新潟市 江南区　人口集中地区</v>
          </cell>
          <cell r="DF872">
            <v>56</v>
          </cell>
          <cell r="DI872">
            <v>689</v>
          </cell>
          <cell r="DJ872">
            <v>781</v>
          </cell>
          <cell r="DK872">
            <v>692</v>
          </cell>
          <cell r="DL872">
            <v>653</v>
          </cell>
          <cell r="DM872">
            <v>625</v>
          </cell>
          <cell r="DN872">
            <v>822</v>
          </cell>
          <cell r="DO872">
            <v>927</v>
          </cell>
          <cell r="DP872">
            <v>1152</v>
          </cell>
          <cell r="DQ872">
            <v>1226</v>
          </cell>
          <cell r="DR872">
            <v>981</v>
          </cell>
          <cell r="DS872">
            <v>829</v>
          </cell>
          <cell r="DT872">
            <v>939</v>
          </cell>
          <cell r="DU872">
            <v>1044</v>
          </cell>
          <cell r="DV872">
            <v>1183</v>
          </cell>
          <cell r="DW872">
            <v>956</v>
          </cell>
          <cell r="DX872">
            <v>805</v>
          </cell>
          <cell r="DY872">
            <v>705</v>
          </cell>
          <cell r="DZ872">
            <v>453</v>
          </cell>
          <cell r="EA872">
            <v>213</v>
          </cell>
          <cell r="EB872">
            <v>59</v>
          </cell>
          <cell r="EC872">
            <v>8</v>
          </cell>
        </row>
        <row r="873">
          <cell r="B873">
            <v>301</v>
          </cell>
          <cell r="C873">
            <v>15105</v>
          </cell>
          <cell r="D873" t="str">
            <v>d</v>
          </cell>
          <cell r="G873" t="str">
            <v>新潟市 秋葉区　人口集中地区</v>
          </cell>
          <cell r="DF873">
            <v>56</v>
          </cell>
          <cell r="DI873">
            <v>1010</v>
          </cell>
          <cell r="DJ873">
            <v>1224</v>
          </cell>
          <cell r="DK873">
            <v>1248</v>
          </cell>
          <cell r="DL873">
            <v>1074</v>
          </cell>
          <cell r="DM873">
            <v>911</v>
          </cell>
          <cell r="DN873">
            <v>1107</v>
          </cell>
          <cell r="DO873">
            <v>1407</v>
          </cell>
          <cell r="DP873">
            <v>1754</v>
          </cell>
          <cell r="DQ873">
            <v>1951</v>
          </cell>
          <cell r="DR873">
            <v>1561</v>
          </cell>
          <cell r="DS873">
            <v>1453</v>
          </cell>
          <cell r="DT873">
            <v>1507</v>
          </cell>
          <cell r="DU873">
            <v>1768</v>
          </cell>
          <cell r="DV873">
            <v>1956</v>
          </cell>
          <cell r="DW873">
            <v>1532</v>
          </cell>
          <cell r="DX873">
            <v>1327</v>
          </cell>
          <cell r="DY873">
            <v>1216</v>
          </cell>
          <cell r="DZ873">
            <v>878</v>
          </cell>
          <cell r="EA873">
            <v>368</v>
          </cell>
          <cell r="EB873">
            <v>95</v>
          </cell>
          <cell r="EC873">
            <v>10</v>
          </cell>
        </row>
        <row r="874">
          <cell r="B874">
            <v>301</v>
          </cell>
          <cell r="C874">
            <v>15106</v>
          </cell>
          <cell r="D874" t="str">
            <v>d</v>
          </cell>
          <cell r="G874" t="str">
            <v>新潟市 南区　人口集中地区</v>
          </cell>
          <cell r="DF874">
            <v>23</v>
          </cell>
          <cell r="DI874">
            <v>143</v>
          </cell>
          <cell r="DJ874">
            <v>128</v>
          </cell>
          <cell r="DK874">
            <v>154</v>
          </cell>
          <cell r="DL874">
            <v>169</v>
          </cell>
          <cell r="DM874">
            <v>132</v>
          </cell>
          <cell r="DN874">
            <v>159</v>
          </cell>
          <cell r="DO874">
            <v>178</v>
          </cell>
          <cell r="DP874">
            <v>191</v>
          </cell>
          <cell r="DQ874">
            <v>255</v>
          </cell>
          <cell r="DR874">
            <v>256</v>
          </cell>
          <cell r="DS874">
            <v>248</v>
          </cell>
          <cell r="DT874">
            <v>239</v>
          </cell>
          <cell r="DU874">
            <v>290</v>
          </cell>
          <cell r="DV874">
            <v>368</v>
          </cell>
          <cell r="DW874">
            <v>289</v>
          </cell>
          <cell r="DX874">
            <v>294</v>
          </cell>
          <cell r="DY874">
            <v>260</v>
          </cell>
          <cell r="DZ874">
            <v>211</v>
          </cell>
          <cell r="EA874">
            <v>95</v>
          </cell>
          <cell r="EB874">
            <v>23</v>
          </cell>
          <cell r="EC874">
            <v>4</v>
          </cell>
        </row>
        <row r="875">
          <cell r="B875">
            <v>301</v>
          </cell>
          <cell r="C875">
            <v>15107</v>
          </cell>
          <cell r="D875" t="str">
            <v>d</v>
          </cell>
          <cell r="G875" t="str">
            <v>新潟市 西区　人口集中地区</v>
          </cell>
          <cell r="DF875">
            <v>424</v>
          </cell>
          <cell r="DI875">
            <v>2546</v>
          </cell>
          <cell r="DJ875">
            <v>2761</v>
          </cell>
          <cell r="DK875">
            <v>2859</v>
          </cell>
          <cell r="DL875">
            <v>3614</v>
          </cell>
          <cell r="DM875">
            <v>4006</v>
          </cell>
          <cell r="DN875">
            <v>3162</v>
          </cell>
          <cell r="DO875">
            <v>3613</v>
          </cell>
          <cell r="DP875">
            <v>4420</v>
          </cell>
          <cell r="DQ875">
            <v>5086</v>
          </cell>
          <cell r="DR875">
            <v>4433</v>
          </cell>
          <cell r="DS875">
            <v>4145</v>
          </cell>
          <cell r="DT875">
            <v>3968</v>
          </cell>
          <cell r="DU875">
            <v>4792</v>
          </cell>
          <cell r="DV875">
            <v>5508</v>
          </cell>
          <cell r="DW875">
            <v>4376</v>
          </cell>
          <cell r="DX875">
            <v>3621</v>
          </cell>
          <cell r="DY875">
            <v>3127</v>
          </cell>
          <cell r="DZ875">
            <v>2124</v>
          </cell>
          <cell r="EA875">
            <v>967</v>
          </cell>
          <cell r="EB875">
            <v>266</v>
          </cell>
          <cell r="EC875">
            <v>57</v>
          </cell>
        </row>
        <row r="876">
          <cell r="B876">
            <v>301</v>
          </cell>
          <cell r="C876">
            <v>15108</v>
          </cell>
          <cell r="D876" t="str">
            <v>d</v>
          </cell>
          <cell r="G876" t="str">
            <v>新潟市 西蒲区　人口集中地区</v>
          </cell>
          <cell r="DF876">
            <v>15</v>
          </cell>
          <cell r="DI876">
            <v>266</v>
          </cell>
          <cell r="DJ876">
            <v>281</v>
          </cell>
          <cell r="DK876">
            <v>330</v>
          </cell>
          <cell r="DL876">
            <v>397</v>
          </cell>
          <cell r="DM876">
            <v>306</v>
          </cell>
          <cell r="DN876">
            <v>362</v>
          </cell>
          <cell r="DO876">
            <v>420</v>
          </cell>
          <cell r="DP876">
            <v>467</v>
          </cell>
          <cell r="DQ876">
            <v>612</v>
          </cell>
          <cell r="DR876">
            <v>548</v>
          </cell>
          <cell r="DS876">
            <v>543</v>
          </cell>
          <cell r="DT876">
            <v>576</v>
          </cell>
          <cell r="DU876">
            <v>688</v>
          </cell>
          <cell r="DV876">
            <v>760</v>
          </cell>
          <cell r="DW876">
            <v>620</v>
          </cell>
          <cell r="DX876">
            <v>588</v>
          </cell>
          <cell r="DY876">
            <v>556</v>
          </cell>
          <cell r="DZ876">
            <v>412</v>
          </cell>
          <cell r="EA876">
            <v>194</v>
          </cell>
          <cell r="EB876">
            <v>54</v>
          </cell>
          <cell r="EC876">
            <v>10</v>
          </cell>
        </row>
        <row r="877">
          <cell r="B877">
            <v>301</v>
          </cell>
          <cell r="C877">
            <v>15202</v>
          </cell>
          <cell r="D877" t="str">
            <v>d</v>
          </cell>
          <cell r="G877" t="str">
            <v>長岡市　人口集中地区</v>
          </cell>
          <cell r="DF877">
            <v>310</v>
          </cell>
          <cell r="DI877">
            <v>2587</v>
          </cell>
          <cell r="DJ877">
            <v>2737</v>
          </cell>
          <cell r="DK877">
            <v>2966</v>
          </cell>
          <cell r="DL877">
            <v>3188</v>
          </cell>
          <cell r="DM877">
            <v>2774</v>
          </cell>
          <cell r="DN877">
            <v>3155</v>
          </cell>
          <cell r="DO877">
            <v>3716</v>
          </cell>
          <cell r="DP877">
            <v>4363</v>
          </cell>
          <cell r="DQ877">
            <v>5008</v>
          </cell>
          <cell r="DR877">
            <v>4472</v>
          </cell>
          <cell r="DS877">
            <v>3991</v>
          </cell>
          <cell r="DT877">
            <v>3939</v>
          </cell>
          <cell r="DU877">
            <v>4729</v>
          </cell>
          <cell r="DV877">
            <v>5281</v>
          </cell>
          <cell r="DW877">
            <v>4242</v>
          </cell>
          <cell r="DX877">
            <v>3826</v>
          </cell>
          <cell r="DY877">
            <v>3296</v>
          </cell>
          <cell r="DZ877">
            <v>2305</v>
          </cell>
          <cell r="EA877">
            <v>1069</v>
          </cell>
          <cell r="EB877">
            <v>312</v>
          </cell>
          <cell r="EC877">
            <v>39</v>
          </cell>
        </row>
        <row r="878">
          <cell r="B878">
            <v>301</v>
          </cell>
          <cell r="C878">
            <v>15204</v>
          </cell>
          <cell r="D878" t="str">
            <v>d</v>
          </cell>
          <cell r="G878" t="str">
            <v>三条市　人口集中地区</v>
          </cell>
          <cell r="DF878">
            <v>83</v>
          </cell>
          <cell r="DI878">
            <v>883</v>
          </cell>
          <cell r="DJ878">
            <v>1006</v>
          </cell>
          <cell r="DK878">
            <v>1100</v>
          </cell>
          <cell r="DL878">
            <v>1173</v>
          </cell>
          <cell r="DM878">
            <v>906</v>
          </cell>
          <cell r="DN878">
            <v>1041</v>
          </cell>
          <cell r="DO878">
            <v>1259</v>
          </cell>
          <cell r="DP878">
            <v>1547</v>
          </cell>
          <cell r="DQ878">
            <v>1806</v>
          </cell>
          <cell r="DR878">
            <v>1646</v>
          </cell>
          <cell r="DS878">
            <v>1656</v>
          </cell>
          <cell r="DT878">
            <v>1561</v>
          </cell>
          <cell r="DU878">
            <v>1910</v>
          </cell>
          <cell r="DV878">
            <v>2082</v>
          </cell>
          <cell r="DW878">
            <v>1756</v>
          </cell>
          <cell r="DX878">
            <v>1823</v>
          </cell>
          <cell r="DY878">
            <v>1481</v>
          </cell>
          <cell r="DZ878">
            <v>1031</v>
          </cell>
          <cell r="EA878">
            <v>461</v>
          </cell>
          <cell r="EB878">
            <v>134</v>
          </cell>
          <cell r="EC878">
            <v>20</v>
          </cell>
        </row>
        <row r="879">
          <cell r="B879">
            <v>301</v>
          </cell>
          <cell r="C879">
            <v>15205</v>
          </cell>
          <cell r="D879" t="str">
            <v>d</v>
          </cell>
          <cell r="G879" t="str">
            <v>柏崎市　人口集中地区</v>
          </cell>
          <cell r="DF879">
            <v>47</v>
          </cell>
          <cell r="DI879">
            <v>549</v>
          </cell>
          <cell r="DJ879">
            <v>596</v>
          </cell>
          <cell r="DK879">
            <v>605</v>
          </cell>
          <cell r="DL879">
            <v>557</v>
          </cell>
          <cell r="DM879">
            <v>485</v>
          </cell>
          <cell r="DN879">
            <v>679</v>
          </cell>
          <cell r="DO879">
            <v>723</v>
          </cell>
          <cell r="DP879">
            <v>928</v>
          </cell>
          <cell r="DQ879">
            <v>1083</v>
          </cell>
          <cell r="DR879">
            <v>890</v>
          </cell>
          <cell r="DS879">
            <v>934</v>
          </cell>
          <cell r="DT879">
            <v>965</v>
          </cell>
          <cell r="DU879">
            <v>1107</v>
          </cell>
          <cell r="DV879">
            <v>1254</v>
          </cell>
          <cell r="DW879">
            <v>1039</v>
          </cell>
          <cell r="DX879">
            <v>960</v>
          </cell>
          <cell r="DY879">
            <v>873</v>
          </cell>
          <cell r="DZ879">
            <v>633</v>
          </cell>
          <cell r="EA879">
            <v>332</v>
          </cell>
          <cell r="EB879">
            <v>99</v>
          </cell>
          <cell r="EC879">
            <v>8</v>
          </cell>
        </row>
        <row r="880">
          <cell r="B880">
            <v>301</v>
          </cell>
          <cell r="C880">
            <v>15206</v>
          </cell>
          <cell r="D880" t="str">
            <v>d</v>
          </cell>
          <cell r="G880" t="str">
            <v>新発田市　人口集中地区</v>
          </cell>
          <cell r="DF880">
            <v>115</v>
          </cell>
          <cell r="DI880">
            <v>954</v>
          </cell>
          <cell r="DJ880">
            <v>971</v>
          </cell>
          <cell r="DK880">
            <v>1094</v>
          </cell>
          <cell r="DL880">
            <v>1150</v>
          </cell>
          <cell r="DM880">
            <v>930</v>
          </cell>
          <cell r="DN880">
            <v>1163</v>
          </cell>
          <cell r="DO880">
            <v>1284</v>
          </cell>
          <cell r="DP880">
            <v>1536</v>
          </cell>
          <cell r="DQ880">
            <v>1743</v>
          </cell>
          <cell r="DR880">
            <v>1596</v>
          </cell>
          <cell r="DS880">
            <v>1533</v>
          </cell>
          <cell r="DT880">
            <v>1547</v>
          </cell>
          <cell r="DU880">
            <v>1750</v>
          </cell>
          <cell r="DV880">
            <v>2033</v>
          </cell>
          <cell r="DW880">
            <v>1543</v>
          </cell>
          <cell r="DX880">
            <v>1437</v>
          </cell>
          <cell r="DY880">
            <v>1280</v>
          </cell>
          <cell r="DZ880">
            <v>847</v>
          </cell>
          <cell r="EA880">
            <v>373</v>
          </cell>
          <cell r="EB880">
            <v>99</v>
          </cell>
          <cell r="EC880">
            <v>21</v>
          </cell>
        </row>
        <row r="881">
          <cell r="B881">
            <v>301</v>
          </cell>
          <cell r="C881">
            <v>15208</v>
          </cell>
          <cell r="D881" t="str">
            <v>d</v>
          </cell>
          <cell r="G881" t="str">
            <v>小千谷市　人口集中地区</v>
          </cell>
          <cell r="DF881">
            <v>7</v>
          </cell>
          <cell r="DI881">
            <v>199</v>
          </cell>
          <cell r="DJ881">
            <v>267</v>
          </cell>
          <cell r="DK881">
            <v>255</v>
          </cell>
          <cell r="DL881">
            <v>267</v>
          </cell>
          <cell r="DM881">
            <v>191</v>
          </cell>
          <cell r="DN881">
            <v>253</v>
          </cell>
          <cell r="DO881">
            <v>288</v>
          </cell>
          <cell r="DP881">
            <v>359</v>
          </cell>
          <cell r="DQ881">
            <v>452</v>
          </cell>
          <cell r="DR881">
            <v>400</v>
          </cell>
          <cell r="DS881">
            <v>340</v>
          </cell>
          <cell r="DT881">
            <v>396</v>
          </cell>
          <cell r="DU881">
            <v>465</v>
          </cell>
          <cell r="DV881">
            <v>542</v>
          </cell>
          <cell r="DW881">
            <v>482</v>
          </cell>
          <cell r="DX881">
            <v>422</v>
          </cell>
          <cell r="DY881">
            <v>342</v>
          </cell>
          <cell r="DZ881">
            <v>280</v>
          </cell>
          <cell r="EA881">
            <v>137</v>
          </cell>
          <cell r="EB881">
            <v>52</v>
          </cell>
          <cell r="EC881">
            <v>5</v>
          </cell>
        </row>
        <row r="882">
          <cell r="B882">
            <v>301</v>
          </cell>
          <cell r="C882">
            <v>15209</v>
          </cell>
          <cell r="D882" t="str">
            <v>d</v>
          </cell>
          <cell r="G882" t="str">
            <v>加茂市　人口集中地区</v>
          </cell>
          <cell r="DF882">
            <v>9</v>
          </cell>
          <cell r="DI882">
            <v>232</v>
          </cell>
          <cell r="DJ882">
            <v>275</v>
          </cell>
          <cell r="DK882">
            <v>324</v>
          </cell>
          <cell r="DL882">
            <v>399</v>
          </cell>
          <cell r="DM882">
            <v>328</v>
          </cell>
          <cell r="DN882">
            <v>325</v>
          </cell>
          <cell r="DO882">
            <v>372</v>
          </cell>
          <cell r="DP882">
            <v>476</v>
          </cell>
          <cell r="DQ882">
            <v>537</v>
          </cell>
          <cell r="DR882">
            <v>539</v>
          </cell>
          <cell r="DS882">
            <v>529</v>
          </cell>
          <cell r="DT882">
            <v>614</v>
          </cell>
          <cell r="DU882">
            <v>694</v>
          </cell>
          <cell r="DV882">
            <v>827</v>
          </cell>
          <cell r="DW882">
            <v>689</v>
          </cell>
          <cell r="DX882">
            <v>700</v>
          </cell>
          <cell r="DY882">
            <v>602</v>
          </cell>
          <cell r="DZ882">
            <v>431</v>
          </cell>
          <cell r="EA882">
            <v>205</v>
          </cell>
          <cell r="EB882">
            <v>41</v>
          </cell>
          <cell r="EC882">
            <v>10</v>
          </cell>
        </row>
        <row r="883">
          <cell r="B883">
            <v>301</v>
          </cell>
          <cell r="C883">
            <v>15210</v>
          </cell>
          <cell r="D883" t="str">
            <v>d</v>
          </cell>
          <cell r="G883" t="str">
            <v>十日町市　人口集中地区</v>
          </cell>
          <cell r="DF883">
            <v>22</v>
          </cell>
          <cell r="DI883">
            <v>300</v>
          </cell>
          <cell r="DJ883">
            <v>307</v>
          </cell>
          <cell r="DK883">
            <v>352</v>
          </cell>
          <cell r="DL883">
            <v>312</v>
          </cell>
          <cell r="DM883">
            <v>243</v>
          </cell>
          <cell r="DN883">
            <v>351</v>
          </cell>
          <cell r="DO883">
            <v>395</v>
          </cell>
          <cell r="DP883">
            <v>448</v>
          </cell>
          <cell r="DQ883">
            <v>529</v>
          </cell>
          <cell r="DR883">
            <v>475</v>
          </cell>
          <cell r="DS883">
            <v>517</v>
          </cell>
          <cell r="DT883">
            <v>459</v>
          </cell>
          <cell r="DU883">
            <v>584</v>
          </cell>
          <cell r="DV883">
            <v>696</v>
          </cell>
          <cell r="DW883">
            <v>636</v>
          </cell>
          <cell r="DX883">
            <v>607</v>
          </cell>
          <cell r="DY883">
            <v>470</v>
          </cell>
          <cell r="DZ883">
            <v>342</v>
          </cell>
          <cell r="EA883">
            <v>167</v>
          </cell>
          <cell r="EB883">
            <v>44</v>
          </cell>
          <cell r="EC883">
            <v>14</v>
          </cell>
        </row>
        <row r="884">
          <cell r="B884">
            <v>301</v>
          </cell>
          <cell r="C884">
            <v>15211</v>
          </cell>
          <cell r="D884" t="str">
            <v>d</v>
          </cell>
          <cell r="G884" t="str">
            <v>見附市　人口集中地区</v>
          </cell>
          <cell r="DF884">
            <v>18</v>
          </cell>
          <cell r="DI884">
            <v>491</v>
          </cell>
          <cell r="DJ884">
            <v>517</v>
          </cell>
          <cell r="DK884">
            <v>580</v>
          </cell>
          <cell r="DL884">
            <v>584</v>
          </cell>
          <cell r="DM884">
            <v>485</v>
          </cell>
          <cell r="DN884">
            <v>581</v>
          </cell>
          <cell r="DO884">
            <v>676</v>
          </cell>
          <cell r="DP884">
            <v>804</v>
          </cell>
          <cell r="DQ884">
            <v>931</v>
          </cell>
          <cell r="DR884">
            <v>778</v>
          </cell>
          <cell r="DS884">
            <v>792</v>
          </cell>
          <cell r="DT884">
            <v>833</v>
          </cell>
          <cell r="DU884">
            <v>952</v>
          </cell>
          <cell r="DV884">
            <v>1068</v>
          </cell>
          <cell r="DW884">
            <v>823</v>
          </cell>
          <cell r="DX884">
            <v>779</v>
          </cell>
          <cell r="DY884">
            <v>620</v>
          </cell>
          <cell r="DZ884">
            <v>459</v>
          </cell>
          <cell r="EA884">
            <v>207</v>
          </cell>
          <cell r="EB884">
            <v>59</v>
          </cell>
          <cell r="EC884">
            <v>10</v>
          </cell>
        </row>
        <row r="885">
          <cell r="B885">
            <v>301</v>
          </cell>
          <cell r="C885">
            <v>15212</v>
          </cell>
          <cell r="D885" t="str">
            <v>d</v>
          </cell>
          <cell r="G885" t="str">
            <v>村上市　人口集中地区</v>
          </cell>
          <cell r="DF885">
            <v>26</v>
          </cell>
          <cell r="DI885">
            <v>257</v>
          </cell>
          <cell r="DJ885">
            <v>300</v>
          </cell>
          <cell r="DK885">
            <v>332</v>
          </cell>
          <cell r="DL885">
            <v>355</v>
          </cell>
          <cell r="DM885">
            <v>300</v>
          </cell>
          <cell r="DN885">
            <v>290</v>
          </cell>
          <cell r="DO885">
            <v>351</v>
          </cell>
          <cell r="DP885">
            <v>458</v>
          </cell>
          <cell r="DQ885">
            <v>529</v>
          </cell>
          <cell r="DR885">
            <v>553</v>
          </cell>
          <cell r="DS885">
            <v>468</v>
          </cell>
          <cell r="DT885">
            <v>478</v>
          </cell>
          <cell r="DU885">
            <v>659</v>
          </cell>
          <cell r="DV885">
            <v>763</v>
          </cell>
          <cell r="DW885">
            <v>654</v>
          </cell>
          <cell r="DX885">
            <v>614</v>
          </cell>
          <cell r="DY885">
            <v>547</v>
          </cell>
          <cell r="DZ885">
            <v>333</v>
          </cell>
          <cell r="EA885">
            <v>173</v>
          </cell>
          <cell r="EB885">
            <v>43</v>
          </cell>
          <cell r="EC885">
            <v>7</v>
          </cell>
        </row>
        <row r="886">
          <cell r="B886">
            <v>301</v>
          </cell>
          <cell r="C886">
            <v>15213</v>
          </cell>
          <cell r="D886" t="str">
            <v>d</v>
          </cell>
          <cell r="G886" t="str">
            <v>燕市　人口集中地区</v>
          </cell>
          <cell r="DF886">
            <v>14</v>
          </cell>
          <cell r="DI886">
            <v>518</v>
          </cell>
          <cell r="DJ886">
            <v>552</v>
          </cell>
          <cell r="DK886">
            <v>633</v>
          </cell>
          <cell r="DL886">
            <v>692</v>
          </cell>
          <cell r="DM886">
            <v>589</v>
          </cell>
          <cell r="DN886">
            <v>647</v>
          </cell>
          <cell r="DO886">
            <v>724</v>
          </cell>
          <cell r="DP886">
            <v>858</v>
          </cell>
          <cell r="DQ886">
            <v>1029</v>
          </cell>
          <cell r="DR886">
            <v>1101</v>
          </cell>
          <cell r="DS886">
            <v>1000</v>
          </cell>
          <cell r="DT886">
            <v>1009</v>
          </cell>
          <cell r="DU886">
            <v>1101</v>
          </cell>
          <cell r="DV886">
            <v>1365</v>
          </cell>
          <cell r="DW886">
            <v>1197</v>
          </cell>
          <cell r="DX886">
            <v>1189</v>
          </cell>
          <cell r="DY886">
            <v>974</v>
          </cell>
          <cell r="DZ886">
            <v>605</v>
          </cell>
          <cell r="EA886">
            <v>287</v>
          </cell>
          <cell r="EB886">
            <v>67</v>
          </cell>
          <cell r="EC886">
            <v>12</v>
          </cell>
        </row>
        <row r="887">
          <cell r="B887">
            <v>301</v>
          </cell>
          <cell r="C887">
            <v>15216</v>
          </cell>
          <cell r="D887" t="str">
            <v>d</v>
          </cell>
          <cell r="G887" t="str">
            <v>糸魚川市　人口集中地区</v>
          </cell>
          <cell r="DF887">
            <v>10</v>
          </cell>
          <cell r="DI887">
            <v>279</v>
          </cell>
          <cell r="DJ887">
            <v>331</v>
          </cell>
          <cell r="DK887">
            <v>388</v>
          </cell>
          <cell r="DL887">
            <v>316</v>
          </cell>
          <cell r="DM887">
            <v>196</v>
          </cell>
          <cell r="DN887">
            <v>320</v>
          </cell>
          <cell r="DO887">
            <v>387</v>
          </cell>
          <cell r="DP887">
            <v>483</v>
          </cell>
          <cell r="DQ887">
            <v>576</v>
          </cell>
          <cell r="DR887">
            <v>552</v>
          </cell>
          <cell r="DS887">
            <v>440</v>
          </cell>
          <cell r="DT887">
            <v>539</v>
          </cell>
          <cell r="DU887">
            <v>672</v>
          </cell>
          <cell r="DV887">
            <v>889</v>
          </cell>
          <cell r="DW887">
            <v>735</v>
          </cell>
          <cell r="DX887">
            <v>707</v>
          </cell>
          <cell r="DY887">
            <v>646</v>
          </cell>
          <cell r="DZ887">
            <v>448</v>
          </cell>
          <cell r="EA887">
            <v>207</v>
          </cell>
          <cell r="EB887">
            <v>59</v>
          </cell>
          <cell r="EC887">
            <v>7</v>
          </cell>
        </row>
        <row r="888">
          <cell r="B888">
            <v>301</v>
          </cell>
          <cell r="C888">
            <v>15217</v>
          </cell>
          <cell r="D888" t="str">
            <v>d</v>
          </cell>
          <cell r="G888" t="str">
            <v>妙高市　人口集中地区</v>
          </cell>
          <cell r="DF888">
            <v>1</v>
          </cell>
          <cell r="DI888">
            <v>147</v>
          </cell>
          <cell r="DJ888">
            <v>147</v>
          </cell>
          <cell r="DK888">
            <v>204</v>
          </cell>
          <cell r="DL888">
            <v>203</v>
          </cell>
          <cell r="DM888">
            <v>142</v>
          </cell>
          <cell r="DN888">
            <v>188</v>
          </cell>
          <cell r="DO888">
            <v>217</v>
          </cell>
          <cell r="DP888">
            <v>227</v>
          </cell>
          <cell r="DQ888">
            <v>308</v>
          </cell>
          <cell r="DR888">
            <v>285</v>
          </cell>
          <cell r="DS888">
            <v>285</v>
          </cell>
          <cell r="DT888">
            <v>258</v>
          </cell>
          <cell r="DU888">
            <v>324</v>
          </cell>
          <cell r="DV888">
            <v>348</v>
          </cell>
          <cell r="DW888">
            <v>304</v>
          </cell>
          <cell r="DX888">
            <v>298</v>
          </cell>
          <cell r="DY888">
            <v>278</v>
          </cell>
          <cell r="DZ888">
            <v>239</v>
          </cell>
          <cell r="EA888">
            <v>115</v>
          </cell>
          <cell r="EB888">
            <v>31</v>
          </cell>
          <cell r="EC888">
            <v>9</v>
          </cell>
        </row>
        <row r="889">
          <cell r="B889">
            <v>301</v>
          </cell>
          <cell r="C889">
            <v>15218</v>
          </cell>
          <cell r="D889" t="str">
            <v>d</v>
          </cell>
          <cell r="G889" t="str">
            <v>五泉市　人口集中地区</v>
          </cell>
          <cell r="DF889">
            <v>2</v>
          </cell>
          <cell r="DI889">
            <v>342</v>
          </cell>
          <cell r="DJ889">
            <v>395</v>
          </cell>
          <cell r="DK889">
            <v>505</v>
          </cell>
          <cell r="DL889">
            <v>501</v>
          </cell>
          <cell r="DM889">
            <v>402</v>
          </cell>
          <cell r="DN889">
            <v>432</v>
          </cell>
          <cell r="DO889">
            <v>533</v>
          </cell>
          <cell r="DP889">
            <v>628</v>
          </cell>
          <cell r="DQ889">
            <v>704</v>
          </cell>
          <cell r="DR889">
            <v>712</v>
          </cell>
          <cell r="DS889">
            <v>670</v>
          </cell>
          <cell r="DT889">
            <v>672</v>
          </cell>
          <cell r="DU889">
            <v>818</v>
          </cell>
          <cell r="DV889">
            <v>1002</v>
          </cell>
          <cell r="DW889">
            <v>837</v>
          </cell>
          <cell r="DX889">
            <v>876</v>
          </cell>
          <cell r="DY889">
            <v>674</v>
          </cell>
          <cell r="DZ889">
            <v>465</v>
          </cell>
          <cell r="EA889">
            <v>222</v>
          </cell>
          <cell r="EB889">
            <v>69</v>
          </cell>
          <cell r="EC889">
            <v>6</v>
          </cell>
        </row>
        <row r="890">
          <cell r="B890">
            <v>301</v>
          </cell>
          <cell r="C890">
            <v>15222</v>
          </cell>
          <cell r="D890" t="str">
            <v>d</v>
          </cell>
          <cell r="G890" t="str">
            <v>上越市　人口集中地区</v>
          </cell>
          <cell r="DF890">
            <v>288</v>
          </cell>
          <cell r="DI890">
            <v>1641</v>
          </cell>
          <cell r="DJ890">
            <v>1847</v>
          </cell>
          <cell r="DK890">
            <v>1876</v>
          </cell>
          <cell r="DL890">
            <v>1770</v>
          </cell>
          <cell r="DM890">
            <v>1510</v>
          </cell>
          <cell r="DN890">
            <v>1807</v>
          </cell>
          <cell r="DO890">
            <v>2110</v>
          </cell>
          <cell r="DP890">
            <v>2610</v>
          </cell>
          <cell r="DQ890">
            <v>3048</v>
          </cell>
          <cell r="DR890">
            <v>2664</v>
          </cell>
          <cell r="DS890">
            <v>2493</v>
          </cell>
          <cell r="DT890">
            <v>2448</v>
          </cell>
          <cell r="DU890">
            <v>2932</v>
          </cell>
          <cell r="DV890">
            <v>3330</v>
          </cell>
          <cell r="DW890">
            <v>2750</v>
          </cell>
          <cell r="DX890">
            <v>2411</v>
          </cell>
          <cell r="DY890">
            <v>2125</v>
          </cell>
          <cell r="DZ890">
            <v>1570</v>
          </cell>
          <cell r="EA890">
            <v>856</v>
          </cell>
          <cell r="EB890">
            <v>247</v>
          </cell>
          <cell r="EC890">
            <v>37</v>
          </cell>
        </row>
        <row r="891">
          <cell r="B891">
            <v>301</v>
          </cell>
          <cell r="C891">
            <v>15223</v>
          </cell>
          <cell r="D891" t="str">
            <v>d</v>
          </cell>
          <cell r="G891" t="str">
            <v>阿賀野市　人口集中地区</v>
          </cell>
          <cell r="DF891">
            <v>4</v>
          </cell>
          <cell r="DI891">
            <v>251</v>
          </cell>
          <cell r="DJ891">
            <v>247</v>
          </cell>
          <cell r="DK891">
            <v>276</v>
          </cell>
          <cell r="DL891">
            <v>301</v>
          </cell>
          <cell r="DM891">
            <v>273</v>
          </cell>
          <cell r="DN891">
            <v>303</v>
          </cell>
          <cell r="DO891">
            <v>312</v>
          </cell>
          <cell r="DP891">
            <v>374</v>
          </cell>
          <cell r="DQ891">
            <v>381</v>
          </cell>
          <cell r="DR891">
            <v>382</v>
          </cell>
          <cell r="DS891">
            <v>384</v>
          </cell>
          <cell r="DT891">
            <v>407</v>
          </cell>
          <cell r="DU891">
            <v>455</v>
          </cell>
          <cell r="DV891">
            <v>534</v>
          </cell>
          <cell r="DW891">
            <v>397</v>
          </cell>
          <cell r="DX891">
            <v>359</v>
          </cell>
          <cell r="DY891">
            <v>322</v>
          </cell>
          <cell r="DZ891">
            <v>221</v>
          </cell>
          <cell r="EA891">
            <v>105</v>
          </cell>
          <cell r="EB891">
            <v>35</v>
          </cell>
          <cell r="EC891">
            <v>7</v>
          </cell>
        </row>
        <row r="892">
          <cell r="B892">
            <v>301</v>
          </cell>
          <cell r="C892">
            <v>15226</v>
          </cell>
          <cell r="D892" t="str">
            <v>d</v>
          </cell>
          <cell r="G892" t="str">
            <v>南魚沼市　人口集中地区</v>
          </cell>
          <cell r="DF892" t="str">
            <v>-</v>
          </cell>
          <cell r="DI892">
            <v>139</v>
          </cell>
          <cell r="DJ892">
            <v>141</v>
          </cell>
          <cell r="DK892">
            <v>137</v>
          </cell>
          <cell r="DL892">
            <v>150</v>
          </cell>
          <cell r="DM892">
            <v>132</v>
          </cell>
          <cell r="DN892">
            <v>165</v>
          </cell>
          <cell r="DO892">
            <v>198</v>
          </cell>
          <cell r="DP892">
            <v>229</v>
          </cell>
          <cell r="DQ892">
            <v>246</v>
          </cell>
          <cell r="DR892">
            <v>185</v>
          </cell>
          <cell r="DS892">
            <v>189</v>
          </cell>
          <cell r="DT892">
            <v>197</v>
          </cell>
          <cell r="DU892">
            <v>226</v>
          </cell>
          <cell r="DV892">
            <v>237</v>
          </cell>
          <cell r="DW892">
            <v>176</v>
          </cell>
          <cell r="DX892">
            <v>156</v>
          </cell>
          <cell r="DY892">
            <v>170</v>
          </cell>
          <cell r="DZ892">
            <v>141</v>
          </cell>
          <cell r="EA892">
            <v>75</v>
          </cell>
          <cell r="EB892">
            <v>22</v>
          </cell>
          <cell r="EC892">
            <v>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4343">
          <cell r="D4343">
            <v>0</v>
          </cell>
          <cell r="E4343" t="str">
            <v>2015→2020</v>
          </cell>
          <cell r="F4343">
            <v>0.99922999999999995</v>
          </cell>
          <cell r="G4343">
            <v>0.99951000000000001</v>
          </cell>
          <cell r="H4343">
            <v>0.99890999999999996</v>
          </cell>
          <cell r="I4343">
            <v>0.99744999999999995</v>
          </cell>
          <cell r="J4343">
            <v>0.99673</v>
          </cell>
          <cell r="K4343">
            <v>0.99668999999999996</v>
          </cell>
          <cell r="L4343">
            <v>0.99589000000000005</v>
          </cell>
          <cell r="M4343">
            <v>0.99428000000000005</v>
          </cell>
          <cell r="N4343">
            <v>0.99145000000000005</v>
          </cell>
          <cell r="O4343">
            <v>0.98650000000000004</v>
          </cell>
          <cell r="P4343">
            <v>0.97901000000000005</v>
          </cell>
          <cell r="Q4343">
            <v>0.96877000000000002</v>
          </cell>
          <cell r="R4343">
            <v>0.95142000000000004</v>
          </cell>
          <cell r="S4343">
            <v>0.92423999999999995</v>
          </cell>
          <cell r="T4343">
            <v>0.88200000000000001</v>
          </cell>
          <cell r="U4343">
            <v>0.79357999999999995</v>
          </cell>
          <cell r="V4343">
            <v>0.65090999999999999</v>
          </cell>
          <cell r="W4343">
            <v>0.38679000000000002</v>
          </cell>
          <cell r="Y4343">
            <v>0.99922999999999995</v>
          </cell>
          <cell r="Z4343">
            <v>0.99966999999999995</v>
          </cell>
          <cell r="AA4343">
            <v>0.99968000000000001</v>
          </cell>
          <cell r="AB4343">
            <v>0.99888999999999994</v>
          </cell>
          <cell r="AC4343">
            <v>0.99853999999999998</v>
          </cell>
          <cell r="AD4343">
            <v>0.99836999999999998</v>
          </cell>
          <cell r="AE4343">
            <v>0.99777000000000005</v>
          </cell>
          <cell r="AF4343">
            <v>0.99685999999999997</v>
          </cell>
          <cell r="AG4343">
            <v>0.99548999999999999</v>
          </cell>
          <cell r="AH4343">
            <v>0.99348999999999998</v>
          </cell>
          <cell r="AI4343">
            <v>0.99043000000000003</v>
          </cell>
          <cell r="AJ4343">
            <v>0.98716000000000004</v>
          </cell>
          <cell r="AK4343">
            <v>0.98077999999999999</v>
          </cell>
          <cell r="AL4343">
            <v>0.97058999999999995</v>
          </cell>
          <cell r="AM4343">
            <v>0.95013999999999998</v>
          </cell>
          <cell r="AN4343">
            <v>0.90271000000000001</v>
          </cell>
          <cell r="AO4343">
            <v>0.80744000000000005</v>
          </cell>
          <cell r="AP4343">
            <v>0.49036000000000002</v>
          </cell>
        </row>
        <row r="4344">
          <cell r="D4344">
            <v>0</v>
          </cell>
          <cell r="E4344" t="str">
            <v>2020→2025</v>
          </cell>
          <cell r="F4344">
            <v>0.99931999999999999</v>
          </cell>
          <cell r="G4344">
            <v>0.99955000000000005</v>
          </cell>
          <cell r="H4344">
            <v>0.999</v>
          </cell>
          <cell r="I4344">
            <v>0.99761999999999995</v>
          </cell>
          <cell r="J4344">
            <v>0.99687000000000003</v>
          </cell>
          <cell r="K4344">
            <v>0.99683999999999995</v>
          </cell>
          <cell r="L4344">
            <v>0.99612000000000001</v>
          </cell>
          <cell r="M4344">
            <v>0.99460999999999999</v>
          </cell>
          <cell r="N4344">
            <v>0.99194000000000004</v>
          </cell>
          <cell r="O4344">
            <v>0.98726999999999998</v>
          </cell>
          <cell r="P4344">
            <v>0.98016000000000003</v>
          </cell>
          <cell r="Q4344">
            <v>0.97045000000000003</v>
          </cell>
          <cell r="R4344">
            <v>0.95381000000000005</v>
          </cell>
          <cell r="S4344">
            <v>0.92776000000000003</v>
          </cell>
          <cell r="T4344">
            <v>0.88793999999999995</v>
          </cell>
          <cell r="U4344">
            <v>0.80472999999999995</v>
          </cell>
          <cell r="V4344">
            <v>0.66679999999999995</v>
          </cell>
          <cell r="W4344">
            <v>0.39933000000000002</v>
          </cell>
          <cell r="Y4344">
            <v>0.99929999999999997</v>
          </cell>
          <cell r="Z4344">
            <v>0.99970000000000003</v>
          </cell>
          <cell r="AA4344">
            <v>0.99970000000000003</v>
          </cell>
          <cell r="AB4344">
            <v>0.99895999999999996</v>
          </cell>
          <cell r="AC4344">
            <v>0.99861999999999995</v>
          </cell>
          <cell r="AD4344">
            <v>0.99846000000000001</v>
          </cell>
          <cell r="AE4344">
            <v>0.99789000000000005</v>
          </cell>
          <cell r="AF4344">
            <v>0.99702999999999997</v>
          </cell>
          <cell r="AG4344">
            <v>0.99573999999999996</v>
          </cell>
          <cell r="AH4344">
            <v>0.99382999999999999</v>
          </cell>
          <cell r="AI4344">
            <v>0.99090999999999996</v>
          </cell>
          <cell r="AJ4344">
            <v>0.98780999999999997</v>
          </cell>
          <cell r="AK4344">
            <v>0.98182999999999998</v>
          </cell>
          <cell r="AL4344">
            <v>0.97221999999999997</v>
          </cell>
          <cell r="AM4344">
            <v>0.95343</v>
          </cell>
          <cell r="AN4344">
            <v>0.90966000000000002</v>
          </cell>
          <cell r="AO4344">
            <v>0.82032000000000005</v>
          </cell>
          <cell r="AP4344">
            <v>0.50355000000000005</v>
          </cell>
        </row>
        <row r="4345">
          <cell r="D4345">
            <v>0</v>
          </cell>
          <cell r="E4345" t="str">
            <v>2025→2030</v>
          </cell>
          <cell r="F4345">
            <v>0.99939</v>
          </cell>
          <cell r="G4345">
            <v>0.99958999999999998</v>
          </cell>
          <cell r="H4345">
            <v>0.99909000000000003</v>
          </cell>
          <cell r="I4345">
            <v>0.99778</v>
          </cell>
          <cell r="J4345">
            <v>0.99700999999999995</v>
          </cell>
          <cell r="K4345">
            <v>0.99697999999999998</v>
          </cell>
          <cell r="L4345">
            <v>0.99633000000000005</v>
          </cell>
          <cell r="M4345">
            <v>0.99492000000000003</v>
          </cell>
          <cell r="N4345">
            <v>0.99238999999999999</v>
          </cell>
          <cell r="O4345">
            <v>0.98797000000000001</v>
          </cell>
          <cell r="P4345">
            <v>0.98119999999999996</v>
          </cell>
          <cell r="Q4345">
            <v>0.97192999999999996</v>
          </cell>
          <cell r="R4345">
            <v>0.95591999999999999</v>
          </cell>
          <cell r="S4345">
            <v>0.93081999999999998</v>
          </cell>
          <cell r="T4345">
            <v>0.89290000000000003</v>
          </cell>
          <cell r="U4345">
            <v>0.8145</v>
          </cell>
          <cell r="V4345">
            <v>0.68113000000000001</v>
          </cell>
          <cell r="W4345">
            <v>0.41063</v>
          </cell>
          <cell r="Y4345">
            <v>0.99936999999999998</v>
          </cell>
          <cell r="Z4345">
            <v>0.99973000000000001</v>
          </cell>
          <cell r="AA4345">
            <v>0.99970999999999999</v>
          </cell>
          <cell r="AB4345">
            <v>0.99902000000000002</v>
          </cell>
          <cell r="AC4345">
            <v>0.99870000000000003</v>
          </cell>
          <cell r="AD4345">
            <v>0.99853999999999998</v>
          </cell>
          <cell r="AE4345">
            <v>0.99800999999999995</v>
          </cell>
          <cell r="AF4345">
            <v>0.99717999999999996</v>
          </cell>
          <cell r="AG4345">
            <v>0.99595</v>
          </cell>
          <cell r="AH4345">
            <v>0.99412999999999996</v>
          </cell>
          <cell r="AI4345">
            <v>0.99131999999999998</v>
          </cell>
          <cell r="AJ4345">
            <v>0.98836999999999997</v>
          </cell>
          <cell r="AK4345">
            <v>0.98272000000000004</v>
          </cell>
          <cell r="AL4345">
            <v>0.97358999999999996</v>
          </cell>
          <cell r="AM4345">
            <v>0.95611000000000002</v>
          </cell>
          <cell r="AN4345">
            <v>0.91549999999999998</v>
          </cell>
          <cell r="AO4345">
            <v>0.83133000000000001</v>
          </cell>
          <cell r="AP4345">
            <v>0.51529000000000003</v>
          </cell>
        </row>
        <row r="4346">
          <cell r="D4346">
            <v>0</v>
          </cell>
          <cell r="E4346" t="str">
            <v>2030→2035</v>
          </cell>
          <cell r="F4346">
            <v>0.99944999999999995</v>
          </cell>
          <cell r="G4346">
            <v>0.99963000000000002</v>
          </cell>
          <cell r="H4346">
            <v>0.99917</v>
          </cell>
          <cell r="I4346">
            <v>0.99792000000000003</v>
          </cell>
          <cell r="J4346">
            <v>0.99714000000000003</v>
          </cell>
          <cell r="K4346">
            <v>0.99711000000000005</v>
          </cell>
          <cell r="L4346">
            <v>0.99651999999999996</v>
          </cell>
          <cell r="M4346">
            <v>0.99519000000000002</v>
          </cell>
          <cell r="N4346">
            <v>0.99278999999999995</v>
          </cell>
          <cell r="O4346">
            <v>0.98858999999999997</v>
          </cell>
          <cell r="P4346">
            <v>0.98211999999999999</v>
          </cell>
          <cell r="Q4346">
            <v>0.97321000000000002</v>
          </cell>
          <cell r="R4346">
            <v>0.95775999999999994</v>
          </cell>
          <cell r="S4346">
            <v>0.93354000000000004</v>
          </cell>
          <cell r="T4346">
            <v>0.89717000000000002</v>
          </cell>
          <cell r="U4346">
            <v>0.82306999999999997</v>
          </cell>
          <cell r="V4346">
            <v>0.69411999999999996</v>
          </cell>
          <cell r="W4346">
            <v>0.42103000000000002</v>
          </cell>
          <cell r="Y4346">
            <v>0.99941999999999998</v>
          </cell>
          <cell r="Z4346">
            <v>0.99975000000000003</v>
          </cell>
          <cell r="AA4346">
            <v>0.99972000000000005</v>
          </cell>
          <cell r="AB4346">
            <v>0.99907999999999997</v>
          </cell>
          <cell r="AC4346">
            <v>0.99878</v>
          </cell>
          <cell r="AD4346">
            <v>0.99861</v>
          </cell>
          <cell r="AE4346">
            <v>0.99811000000000005</v>
          </cell>
          <cell r="AF4346">
            <v>0.99731999999999998</v>
          </cell>
          <cell r="AG4346">
            <v>0.99614000000000003</v>
          </cell>
          <cell r="AH4346">
            <v>0.99438000000000004</v>
          </cell>
          <cell r="AI4346">
            <v>0.99168000000000001</v>
          </cell>
          <cell r="AJ4346">
            <v>0.98882999999999999</v>
          </cell>
          <cell r="AK4346">
            <v>0.98348000000000002</v>
          </cell>
          <cell r="AL4346">
            <v>0.97474000000000005</v>
          </cell>
          <cell r="AM4346">
            <v>0.95831</v>
          </cell>
          <cell r="AN4346">
            <v>0.92042999999999997</v>
          </cell>
          <cell r="AO4346">
            <v>0.84086000000000005</v>
          </cell>
          <cell r="AP4346">
            <v>0.52588000000000001</v>
          </cell>
        </row>
        <row r="4347">
          <cell r="D4347">
            <v>0</v>
          </cell>
          <cell r="E4347" t="str">
            <v>2035→2040</v>
          </cell>
          <cell r="F4347">
            <v>0.99950000000000006</v>
          </cell>
          <cell r="G4347">
            <v>0.99965999999999999</v>
          </cell>
          <cell r="H4347">
            <v>0.99924000000000002</v>
          </cell>
          <cell r="I4347">
            <v>0.99804999999999999</v>
          </cell>
          <cell r="J4347">
            <v>0.99726000000000004</v>
          </cell>
          <cell r="K4347">
            <v>0.99724000000000002</v>
          </cell>
          <cell r="L4347">
            <v>0.99668999999999996</v>
          </cell>
          <cell r="M4347">
            <v>0.99543999999999999</v>
          </cell>
          <cell r="N4347">
            <v>0.99314999999999998</v>
          </cell>
          <cell r="O4347">
            <v>0.98914000000000002</v>
          </cell>
          <cell r="P4347">
            <v>0.98294000000000004</v>
          </cell>
          <cell r="Q4347">
            <v>0.97431999999999996</v>
          </cell>
          <cell r="R4347">
            <v>0.95936999999999995</v>
          </cell>
          <cell r="S4347">
            <v>0.93594999999999995</v>
          </cell>
          <cell r="T4347">
            <v>0.90088999999999997</v>
          </cell>
          <cell r="U4347">
            <v>0.83064000000000004</v>
          </cell>
          <cell r="V4347">
            <v>0.70594000000000001</v>
          </cell>
          <cell r="W4347">
            <v>0.43062</v>
          </cell>
          <cell r="Y4347">
            <v>0.99946999999999997</v>
          </cell>
          <cell r="Z4347">
            <v>0.99977000000000005</v>
          </cell>
          <cell r="AA4347">
            <v>0.99973000000000001</v>
          </cell>
          <cell r="AB4347">
            <v>0.99912999999999996</v>
          </cell>
          <cell r="AC4347">
            <v>0.99883999999999995</v>
          </cell>
          <cell r="AD4347">
            <v>0.99868000000000001</v>
          </cell>
          <cell r="AE4347">
            <v>0.99819999999999998</v>
          </cell>
          <cell r="AF4347">
            <v>0.99743999999999999</v>
          </cell>
          <cell r="AG4347">
            <v>0.99629999999999996</v>
          </cell>
          <cell r="AH4347">
            <v>0.99460000000000004</v>
          </cell>
          <cell r="AI4347">
            <v>0.99199000000000004</v>
          </cell>
          <cell r="AJ4347">
            <v>0.98921999999999999</v>
          </cell>
          <cell r="AK4347">
            <v>0.98411000000000004</v>
          </cell>
          <cell r="AL4347">
            <v>0.97570999999999997</v>
          </cell>
          <cell r="AM4347">
            <v>0.96013000000000004</v>
          </cell>
          <cell r="AN4347">
            <v>0.92459999999999998</v>
          </cell>
          <cell r="AO4347">
            <v>0.84914000000000001</v>
          </cell>
          <cell r="AP4347">
            <v>0.53547</v>
          </cell>
        </row>
        <row r="4348">
          <cell r="D4348">
            <v>0</v>
          </cell>
          <cell r="E4348" t="str">
            <v>2040→2045</v>
          </cell>
          <cell r="F4348">
            <v>0.99953999999999998</v>
          </cell>
          <cell r="G4348">
            <v>0.99970000000000003</v>
          </cell>
          <cell r="H4348">
            <v>0.99929999999999997</v>
          </cell>
          <cell r="I4348">
            <v>0.99817</v>
          </cell>
          <cell r="J4348">
            <v>0.99736999999999998</v>
          </cell>
          <cell r="K4348">
            <v>0.99734999999999996</v>
          </cell>
          <cell r="L4348">
            <v>0.99685000000000001</v>
          </cell>
          <cell r="M4348">
            <v>0.99567000000000005</v>
          </cell>
          <cell r="N4348">
            <v>0.99346999999999996</v>
          </cell>
          <cell r="O4348">
            <v>0.98963999999999996</v>
          </cell>
          <cell r="P4348">
            <v>0.98368</v>
          </cell>
          <cell r="Q4348">
            <v>0.97529999999999994</v>
          </cell>
          <cell r="R4348">
            <v>0.96079000000000003</v>
          </cell>
          <cell r="S4348">
            <v>0.93808999999999998</v>
          </cell>
          <cell r="T4348">
            <v>0.90415999999999996</v>
          </cell>
          <cell r="U4348">
            <v>0.83733000000000002</v>
          </cell>
          <cell r="V4348">
            <v>0.71672000000000002</v>
          </cell>
          <cell r="W4348">
            <v>0.43948999999999999</v>
          </cell>
          <cell r="Y4348">
            <v>0.99951999999999996</v>
          </cell>
          <cell r="Z4348">
            <v>0.99978999999999996</v>
          </cell>
          <cell r="AA4348">
            <v>0.99973999999999996</v>
          </cell>
          <cell r="AB4348">
            <v>0.99917999999999996</v>
          </cell>
          <cell r="AC4348">
            <v>0.99890999999999996</v>
          </cell>
          <cell r="AD4348">
            <v>0.99873000000000001</v>
          </cell>
          <cell r="AE4348">
            <v>0.99827999999999995</v>
          </cell>
          <cell r="AF4348">
            <v>0.99755000000000005</v>
          </cell>
          <cell r="AG4348">
            <v>0.99643999999999999</v>
          </cell>
          <cell r="AH4348">
            <v>0.99478</v>
          </cell>
          <cell r="AI4348">
            <v>0.99226000000000003</v>
          </cell>
          <cell r="AJ4348">
            <v>0.98953999999999998</v>
          </cell>
          <cell r="AK4348">
            <v>0.98465000000000003</v>
          </cell>
          <cell r="AL4348">
            <v>0.97653999999999996</v>
          </cell>
          <cell r="AM4348">
            <v>0.96165</v>
          </cell>
          <cell r="AN4348">
            <v>0.92813999999999997</v>
          </cell>
          <cell r="AO4348">
            <v>0.85636000000000001</v>
          </cell>
          <cell r="AP4348">
            <v>0.54418</v>
          </cell>
        </row>
        <row r="4349">
          <cell r="D4349" t="str">
            <v>新潟市</v>
          </cell>
          <cell r="E4349" t="str">
            <v>2015→2020</v>
          </cell>
          <cell r="F4349">
            <v>0.99922999999999995</v>
          </cell>
          <cell r="G4349">
            <v>0.99951000000000001</v>
          </cell>
          <cell r="H4349">
            <v>0.99890999999999996</v>
          </cell>
          <cell r="I4349">
            <v>0.99744999999999995</v>
          </cell>
          <cell r="J4349">
            <v>0.99673</v>
          </cell>
          <cell r="K4349">
            <v>0.99668999999999996</v>
          </cell>
          <cell r="L4349">
            <v>0.99589000000000005</v>
          </cell>
          <cell r="M4349">
            <v>0.99428000000000005</v>
          </cell>
          <cell r="N4349">
            <v>0.99145000000000005</v>
          </cell>
          <cell r="O4349">
            <v>0.98650000000000004</v>
          </cell>
          <cell r="P4349">
            <v>0.97901000000000005</v>
          </cell>
          <cell r="Q4349">
            <v>0.96877000000000002</v>
          </cell>
          <cell r="R4349">
            <v>0.95043</v>
          </cell>
          <cell r="S4349">
            <v>0.92413000000000001</v>
          </cell>
          <cell r="T4349">
            <v>0.88317000000000001</v>
          </cell>
          <cell r="U4349">
            <v>0.79795000000000005</v>
          </cell>
          <cell r="V4349">
            <v>0.66269</v>
          </cell>
          <cell r="W4349">
            <v>0.40822999999999998</v>
          </cell>
          <cell r="Y4349">
            <v>0.99922999999999995</v>
          </cell>
          <cell r="Z4349">
            <v>0.99966999999999995</v>
          </cell>
          <cell r="AA4349">
            <v>0.99968000000000001</v>
          </cell>
          <cell r="AB4349">
            <v>0.99888999999999994</v>
          </cell>
          <cell r="AC4349">
            <v>0.99853999999999998</v>
          </cell>
          <cell r="AD4349">
            <v>0.99836999999999998</v>
          </cell>
          <cell r="AE4349">
            <v>0.99777000000000005</v>
          </cell>
          <cell r="AF4349">
            <v>0.99685999999999997</v>
          </cell>
          <cell r="AG4349">
            <v>0.99548999999999999</v>
          </cell>
          <cell r="AH4349">
            <v>0.99348999999999998</v>
          </cell>
          <cell r="AI4349">
            <v>0.99043000000000003</v>
          </cell>
          <cell r="AJ4349">
            <v>0.98716000000000004</v>
          </cell>
          <cell r="AK4349">
            <v>0.98124</v>
          </cell>
          <cell r="AL4349">
            <v>0.97119999999999995</v>
          </cell>
          <cell r="AM4349">
            <v>0.95047000000000004</v>
          </cell>
          <cell r="AN4349">
            <v>0.90439999999999998</v>
          </cell>
          <cell r="AO4349">
            <v>0.81494</v>
          </cell>
          <cell r="AP4349">
            <v>0.50473000000000001</v>
          </cell>
        </row>
        <row r="4350">
          <cell r="D4350" t="str">
            <v>新潟市</v>
          </cell>
          <cell r="E4350" t="str">
            <v>2020→2025</v>
          </cell>
          <cell r="F4350">
            <v>0.99931999999999999</v>
          </cell>
          <cell r="G4350">
            <v>0.99955000000000005</v>
          </cell>
          <cell r="H4350">
            <v>0.999</v>
          </cell>
          <cell r="I4350">
            <v>0.99761999999999995</v>
          </cell>
          <cell r="J4350">
            <v>0.99687000000000003</v>
          </cell>
          <cell r="K4350">
            <v>0.99683999999999995</v>
          </cell>
          <cell r="L4350">
            <v>0.99612000000000001</v>
          </cell>
          <cell r="M4350">
            <v>0.99460999999999999</v>
          </cell>
          <cell r="N4350">
            <v>0.99194000000000004</v>
          </cell>
          <cell r="O4350">
            <v>0.98726999999999998</v>
          </cell>
          <cell r="P4350">
            <v>0.98016000000000003</v>
          </cell>
          <cell r="Q4350">
            <v>0.97045000000000003</v>
          </cell>
          <cell r="R4350">
            <v>0.95281000000000005</v>
          </cell>
          <cell r="S4350">
            <v>0.92764999999999997</v>
          </cell>
          <cell r="T4350">
            <v>0.88912000000000002</v>
          </cell>
          <cell r="U4350">
            <v>0.80915999999999999</v>
          </cell>
          <cell r="V4350">
            <v>0.67886000000000002</v>
          </cell>
          <cell r="W4350">
            <v>0.42147000000000001</v>
          </cell>
          <cell r="Y4350">
            <v>0.99929999999999997</v>
          </cell>
          <cell r="Z4350">
            <v>0.99970000000000003</v>
          </cell>
          <cell r="AA4350">
            <v>0.99970000000000003</v>
          </cell>
          <cell r="AB4350">
            <v>0.99895999999999996</v>
          </cell>
          <cell r="AC4350">
            <v>0.99861999999999995</v>
          </cell>
          <cell r="AD4350">
            <v>0.99846000000000001</v>
          </cell>
          <cell r="AE4350">
            <v>0.99789000000000005</v>
          </cell>
          <cell r="AF4350">
            <v>0.99702999999999997</v>
          </cell>
          <cell r="AG4350">
            <v>0.99573999999999996</v>
          </cell>
          <cell r="AH4350">
            <v>0.99382999999999999</v>
          </cell>
          <cell r="AI4350">
            <v>0.99090999999999996</v>
          </cell>
          <cell r="AJ4350">
            <v>0.98780999999999997</v>
          </cell>
          <cell r="AK4350">
            <v>0.98229</v>
          </cell>
          <cell r="AL4350">
            <v>0.97284000000000004</v>
          </cell>
          <cell r="AM4350">
            <v>0.95376000000000005</v>
          </cell>
          <cell r="AN4350">
            <v>0.91135999999999995</v>
          </cell>
          <cell r="AO4350">
            <v>0.82794000000000001</v>
          </cell>
          <cell r="AP4350">
            <v>0.51831000000000005</v>
          </cell>
        </row>
        <row r="4351">
          <cell r="D4351" t="str">
            <v>新潟市</v>
          </cell>
          <cell r="E4351" t="str">
            <v>2025→2030</v>
          </cell>
          <cell r="F4351">
            <v>0.99939</v>
          </cell>
          <cell r="G4351">
            <v>0.99958999999999998</v>
          </cell>
          <cell r="H4351">
            <v>0.99909000000000003</v>
          </cell>
          <cell r="I4351">
            <v>0.99778</v>
          </cell>
          <cell r="J4351">
            <v>0.99700999999999995</v>
          </cell>
          <cell r="K4351">
            <v>0.99697999999999998</v>
          </cell>
          <cell r="L4351">
            <v>0.99633000000000005</v>
          </cell>
          <cell r="M4351">
            <v>0.99492000000000003</v>
          </cell>
          <cell r="N4351">
            <v>0.99238999999999999</v>
          </cell>
          <cell r="O4351">
            <v>0.98797000000000001</v>
          </cell>
          <cell r="P4351">
            <v>0.98119999999999996</v>
          </cell>
          <cell r="Q4351">
            <v>0.97192999999999996</v>
          </cell>
          <cell r="R4351">
            <v>0.95491999999999999</v>
          </cell>
          <cell r="S4351">
            <v>0.93071999999999999</v>
          </cell>
          <cell r="T4351">
            <v>0.89409000000000005</v>
          </cell>
          <cell r="U4351">
            <v>0.81896999999999998</v>
          </cell>
          <cell r="V4351">
            <v>0.69345000000000001</v>
          </cell>
          <cell r="W4351">
            <v>0.43340000000000001</v>
          </cell>
          <cell r="Y4351">
            <v>0.99936999999999998</v>
          </cell>
          <cell r="Z4351">
            <v>0.99973000000000001</v>
          </cell>
          <cell r="AA4351">
            <v>0.99970999999999999</v>
          </cell>
          <cell r="AB4351">
            <v>0.99902000000000002</v>
          </cell>
          <cell r="AC4351">
            <v>0.99870000000000003</v>
          </cell>
          <cell r="AD4351">
            <v>0.99853999999999998</v>
          </cell>
          <cell r="AE4351">
            <v>0.99800999999999995</v>
          </cell>
          <cell r="AF4351">
            <v>0.99717999999999996</v>
          </cell>
          <cell r="AG4351">
            <v>0.99595</v>
          </cell>
          <cell r="AH4351">
            <v>0.99412999999999996</v>
          </cell>
          <cell r="AI4351">
            <v>0.99131999999999998</v>
          </cell>
          <cell r="AJ4351">
            <v>0.98836999999999997</v>
          </cell>
          <cell r="AK4351">
            <v>0.98318000000000005</v>
          </cell>
          <cell r="AL4351">
            <v>0.97421000000000002</v>
          </cell>
          <cell r="AM4351">
            <v>0.95643999999999996</v>
          </cell>
          <cell r="AN4351">
            <v>0.91722000000000004</v>
          </cell>
          <cell r="AO4351">
            <v>0.83904999999999996</v>
          </cell>
          <cell r="AP4351">
            <v>0.53039000000000003</v>
          </cell>
        </row>
        <row r="4352">
          <cell r="D4352" t="str">
            <v>新潟市</v>
          </cell>
          <cell r="E4352" t="str">
            <v>2030→2035</v>
          </cell>
          <cell r="F4352">
            <v>0.99944999999999995</v>
          </cell>
          <cell r="G4352">
            <v>0.99963000000000002</v>
          </cell>
          <cell r="H4352">
            <v>0.99917</v>
          </cell>
          <cell r="I4352">
            <v>0.99792000000000003</v>
          </cell>
          <cell r="J4352">
            <v>0.99714000000000003</v>
          </cell>
          <cell r="K4352">
            <v>0.99711000000000005</v>
          </cell>
          <cell r="L4352">
            <v>0.99651999999999996</v>
          </cell>
          <cell r="M4352">
            <v>0.99519000000000002</v>
          </cell>
          <cell r="N4352">
            <v>0.99278999999999995</v>
          </cell>
          <cell r="O4352">
            <v>0.98858999999999997</v>
          </cell>
          <cell r="P4352">
            <v>0.98211999999999999</v>
          </cell>
          <cell r="Q4352">
            <v>0.97321000000000002</v>
          </cell>
          <cell r="R4352">
            <v>0.95676000000000005</v>
          </cell>
          <cell r="S4352">
            <v>0.93342999999999998</v>
          </cell>
          <cell r="T4352">
            <v>0.89836000000000005</v>
          </cell>
          <cell r="U4352">
            <v>0.82759000000000005</v>
          </cell>
          <cell r="V4352">
            <v>0.70667999999999997</v>
          </cell>
          <cell r="W4352">
            <v>0.44436999999999999</v>
          </cell>
          <cell r="Y4352">
            <v>0.99941999999999998</v>
          </cell>
          <cell r="Z4352">
            <v>0.99975000000000003</v>
          </cell>
          <cell r="AA4352">
            <v>0.99972000000000005</v>
          </cell>
          <cell r="AB4352">
            <v>0.99907999999999997</v>
          </cell>
          <cell r="AC4352">
            <v>0.99878</v>
          </cell>
          <cell r="AD4352">
            <v>0.99861</v>
          </cell>
          <cell r="AE4352">
            <v>0.99811000000000005</v>
          </cell>
          <cell r="AF4352">
            <v>0.99731999999999998</v>
          </cell>
          <cell r="AG4352">
            <v>0.99614000000000003</v>
          </cell>
          <cell r="AH4352">
            <v>0.99438000000000004</v>
          </cell>
          <cell r="AI4352">
            <v>0.99168000000000001</v>
          </cell>
          <cell r="AJ4352">
            <v>0.98882999999999999</v>
          </cell>
          <cell r="AK4352">
            <v>0.98392999999999997</v>
          </cell>
          <cell r="AL4352">
            <v>0.97536</v>
          </cell>
          <cell r="AM4352">
            <v>0.95864000000000005</v>
          </cell>
          <cell r="AN4352">
            <v>0.92215999999999998</v>
          </cell>
          <cell r="AO4352">
            <v>0.84867000000000004</v>
          </cell>
          <cell r="AP4352">
            <v>0.54129000000000005</v>
          </cell>
        </row>
        <row r="4353">
          <cell r="D4353" t="str">
            <v>新潟市</v>
          </cell>
          <cell r="E4353" t="str">
            <v>2035→2040</v>
          </cell>
          <cell r="F4353">
            <v>0.99950000000000006</v>
          </cell>
          <cell r="G4353">
            <v>0.99965999999999999</v>
          </cell>
          <cell r="H4353">
            <v>0.99924000000000002</v>
          </cell>
          <cell r="I4353">
            <v>0.99804999999999999</v>
          </cell>
          <cell r="J4353">
            <v>0.99726000000000004</v>
          </cell>
          <cell r="K4353">
            <v>0.99724000000000002</v>
          </cell>
          <cell r="L4353">
            <v>0.99668999999999996</v>
          </cell>
          <cell r="M4353">
            <v>0.99543999999999999</v>
          </cell>
          <cell r="N4353">
            <v>0.99314999999999998</v>
          </cell>
          <cell r="O4353">
            <v>0.98914000000000002</v>
          </cell>
          <cell r="P4353">
            <v>0.98294000000000004</v>
          </cell>
          <cell r="Q4353">
            <v>0.97431999999999996</v>
          </cell>
          <cell r="R4353">
            <v>0.95837000000000006</v>
          </cell>
          <cell r="S4353">
            <v>0.93584000000000001</v>
          </cell>
          <cell r="T4353">
            <v>0.90208999999999995</v>
          </cell>
          <cell r="U4353">
            <v>0.83520000000000005</v>
          </cell>
          <cell r="V4353">
            <v>0.71870999999999996</v>
          </cell>
          <cell r="W4353">
            <v>0.45450000000000002</v>
          </cell>
          <cell r="Y4353">
            <v>0.99946999999999997</v>
          </cell>
          <cell r="Z4353">
            <v>0.99977000000000005</v>
          </cell>
          <cell r="AA4353">
            <v>0.99973000000000001</v>
          </cell>
          <cell r="AB4353">
            <v>0.99912999999999996</v>
          </cell>
          <cell r="AC4353">
            <v>0.99883999999999995</v>
          </cell>
          <cell r="AD4353">
            <v>0.99868000000000001</v>
          </cell>
          <cell r="AE4353">
            <v>0.99819999999999998</v>
          </cell>
          <cell r="AF4353">
            <v>0.99743999999999999</v>
          </cell>
          <cell r="AG4353">
            <v>0.99629999999999996</v>
          </cell>
          <cell r="AH4353">
            <v>0.99460000000000004</v>
          </cell>
          <cell r="AI4353">
            <v>0.99199000000000004</v>
          </cell>
          <cell r="AJ4353">
            <v>0.98921999999999999</v>
          </cell>
          <cell r="AK4353">
            <v>0.98456999999999995</v>
          </cell>
          <cell r="AL4353">
            <v>0.97633000000000003</v>
          </cell>
          <cell r="AM4353">
            <v>0.96045999999999998</v>
          </cell>
          <cell r="AN4353">
            <v>0.92632999999999999</v>
          </cell>
          <cell r="AO4353">
            <v>0.85702999999999996</v>
          </cell>
          <cell r="AP4353">
            <v>0.55117000000000005</v>
          </cell>
        </row>
        <row r="4354">
          <cell r="D4354" t="str">
            <v>新潟市</v>
          </cell>
          <cell r="E4354" t="str">
            <v>2040→2045</v>
          </cell>
          <cell r="F4354">
            <v>0.99953999999999998</v>
          </cell>
          <cell r="G4354">
            <v>0.99970000000000003</v>
          </cell>
          <cell r="H4354">
            <v>0.99929999999999997</v>
          </cell>
          <cell r="I4354">
            <v>0.99817</v>
          </cell>
          <cell r="J4354">
            <v>0.99736999999999998</v>
          </cell>
          <cell r="K4354">
            <v>0.99734999999999996</v>
          </cell>
          <cell r="L4354">
            <v>0.99685000000000001</v>
          </cell>
          <cell r="M4354">
            <v>0.99567000000000005</v>
          </cell>
          <cell r="N4354">
            <v>0.99346999999999996</v>
          </cell>
          <cell r="O4354">
            <v>0.98963999999999996</v>
          </cell>
          <cell r="P4354">
            <v>0.98368</v>
          </cell>
          <cell r="Q4354">
            <v>0.97529999999999994</v>
          </cell>
          <cell r="R4354">
            <v>0.95979000000000003</v>
          </cell>
          <cell r="S4354">
            <v>0.93798000000000004</v>
          </cell>
          <cell r="T4354">
            <v>0.90536000000000005</v>
          </cell>
          <cell r="U4354">
            <v>0.84194000000000002</v>
          </cell>
          <cell r="V4354">
            <v>0.72968</v>
          </cell>
          <cell r="W4354">
            <v>0.46384999999999998</v>
          </cell>
          <cell r="Y4354">
            <v>0.99951999999999996</v>
          </cell>
          <cell r="Z4354">
            <v>0.99978999999999996</v>
          </cell>
          <cell r="AA4354">
            <v>0.99973999999999996</v>
          </cell>
          <cell r="AB4354">
            <v>0.99917999999999996</v>
          </cell>
          <cell r="AC4354">
            <v>0.99890999999999996</v>
          </cell>
          <cell r="AD4354">
            <v>0.99873000000000001</v>
          </cell>
          <cell r="AE4354">
            <v>0.99827999999999995</v>
          </cell>
          <cell r="AF4354">
            <v>0.99755000000000005</v>
          </cell>
          <cell r="AG4354">
            <v>0.99643999999999999</v>
          </cell>
          <cell r="AH4354">
            <v>0.99478</v>
          </cell>
          <cell r="AI4354">
            <v>0.99226000000000003</v>
          </cell>
          <cell r="AJ4354">
            <v>0.98953999999999998</v>
          </cell>
          <cell r="AK4354">
            <v>0.98509999999999998</v>
          </cell>
          <cell r="AL4354">
            <v>0.97714999999999996</v>
          </cell>
          <cell r="AM4354">
            <v>0.96196999999999999</v>
          </cell>
          <cell r="AN4354">
            <v>0.92988000000000004</v>
          </cell>
          <cell r="AO4354">
            <v>0.86431000000000002</v>
          </cell>
          <cell r="AP4354">
            <v>0.56013000000000002</v>
          </cell>
        </row>
        <row r="4355">
          <cell r="D4355" t="str">
            <v>長岡市</v>
          </cell>
          <cell r="E4355" t="str">
            <v>2015→2020</v>
          </cell>
          <cell r="F4355">
            <v>0.99922999999999995</v>
          </cell>
          <cell r="G4355">
            <v>0.99951000000000001</v>
          </cell>
          <cell r="H4355">
            <v>0.99890999999999996</v>
          </cell>
          <cell r="I4355">
            <v>0.99744999999999995</v>
          </cell>
          <cell r="J4355">
            <v>0.99673</v>
          </cell>
          <cell r="K4355">
            <v>0.99668999999999996</v>
          </cell>
          <cell r="L4355">
            <v>0.99589000000000005</v>
          </cell>
          <cell r="M4355">
            <v>0.99428000000000005</v>
          </cell>
          <cell r="N4355">
            <v>0.99145000000000005</v>
          </cell>
          <cell r="O4355">
            <v>0.98650000000000004</v>
          </cell>
          <cell r="P4355">
            <v>0.97901000000000005</v>
          </cell>
          <cell r="Q4355">
            <v>0.96877000000000002</v>
          </cell>
          <cell r="R4355">
            <v>0.95421</v>
          </cell>
          <cell r="S4355">
            <v>0.92850999999999995</v>
          </cell>
          <cell r="T4355">
            <v>0.88978999999999997</v>
          </cell>
          <cell r="U4355">
            <v>0.80037000000000003</v>
          </cell>
          <cell r="V4355">
            <v>0.65076000000000001</v>
          </cell>
          <cell r="W4355">
            <v>0.37219000000000002</v>
          </cell>
          <cell r="Y4355">
            <v>0.99922999999999995</v>
          </cell>
          <cell r="Z4355">
            <v>0.99966999999999995</v>
          </cell>
          <cell r="AA4355">
            <v>0.99968000000000001</v>
          </cell>
          <cell r="AB4355">
            <v>0.99888999999999994</v>
          </cell>
          <cell r="AC4355">
            <v>0.99853999999999998</v>
          </cell>
          <cell r="AD4355">
            <v>0.99836999999999998</v>
          </cell>
          <cell r="AE4355">
            <v>0.99777000000000005</v>
          </cell>
          <cell r="AF4355">
            <v>0.99685999999999997</v>
          </cell>
          <cell r="AG4355">
            <v>0.99548999999999999</v>
          </cell>
          <cell r="AH4355">
            <v>0.99348999999999998</v>
          </cell>
          <cell r="AI4355">
            <v>0.99043000000000003</v>
          </cell>
          <cell r="AJ4355">
            <v>0.98716000000000004</v>
          </cell>
          <cell r="AK4355">
            <v>0.98062000000000005</v>
          </cell>
          <cell r="AL4355">
            <v>0.97150999999999998</v>
          </cell>
          <cell r="AM4355">
            <v>0.94967000000000001</v>
          </cell>
          <cell r="AN4355">
            <v>0.90254999999999996</v>
          </cell>
          <cell r="AO4355">
            <v>0.81093000000000004</v>
          </cell>
          <cell r="AP4355">
            <v>0.49891999999999997</v>
          </cell>
        </row>
        <row r="4356">
          <cell r="D4356" t="str">
            <v>長岡市</v>
          </cell>
          <cell r="E4356" t="str">
            <v>2020→2025</v>
          </cell>
          <cell r="F4356">
            <v>0.99931999999999999</v>
          </cell>
          <cell r="G4356">
            <v>0.99955000000000005</v>
          </cell>
          <cell r="H4356">
            <v>0.999</v>
          </cell>
          <cell r="I4356">
            <v>0.99761999999999995</v>
          </cell>
          <cell r="J4356">
            <v>0.99687000000000003</v>
          </cell>
          <cell r="K4356">
            <v>0.99683999999999995</v>
          </cell>
          <cell r="L4356">
            <v>0.99612000000000001</v>
          </cell>
          <cell r="M4356">
            <v>0.99460999999999999</v>
          </cell>
          <cell r="N4356">
            <v>0.99194000000000004</v>
          </cell>
          <cell r="O4356">
            <v>0.98726999999999998</v>
          </cell>
          <cell r="P4356">
            <v>0.98016000000000003</v>
          </cell>
          <cell r="Q4356">
            <v>0.97045000000000003</v>
          </cell>
          <cell r="R4356">
            <v>0.95660999999999996</v>
          </cell>
          <cell r="S4356">
            <v>0.93205000000000005</v>
          </cell>
          <cell r="T4356">
            <v>0.89578999999999998</v>
          </cell>
          <cell r="U4356">
            <v>0.81162000000000001</v>
          </cell>
          <cell r="V4356">
            <v>0.66664000000000001</v>
          </cell>
          <cell r="W4356">
            <v>0.38425999999999999</v>
          </cell>
          <cell r="Y4356">
            <v>0.99929999999999997</v>
          </cell>
          <cell r="Z4356">
            <v>0.99970000000000003</v>
          </cell>
          <cell r="AA4356">
            <v>0.99970000000000003</v>
          </cell>
          <cell r="AB4356">
            <v>0.99895999999999996</v>
          </cell>
          <cell r="AC4356">
            <v>0.99861999999999995</v>
          </cell>
          <cell r="AD4356">
            <v>0.99846000000000001</v>
          </cell>
          <cell r="AE4356">
            <v>0.99789000000000005</v>
          </cell>
          <cell r="AF4356">
            <v>0.99702999999999997</v>
          </cell>
          <cell r="AG4356">
            <v>0.99573999999999996</v>
          </cell>
          <cell r="AH4356">
            <v>0.99382999999999999</v>
          </cell>
          <cell r="AI4356">
            <v>0.99090999999999996</v>
          </cell>
          <cell r="AJ4356">
            <v>0.98780999999999997</v>
          </cell>
          <cell r="AK4356">
            <v>0.98167000000000004</v>
          </cell>
          <cell r="AL4356">
            <v>0.97314999999999996</v>
          </cell>
          <cell r="AM4356">
            <v>0.95296000000000003</v>
          </cell>
          <cell r="AN4356">
            <v>0.90949999999999998</v>
          </cell>
          <cell r="AO4356">
            <v>0.82386999999999999</v>
          </cell>
          <cell r="AP4356">
            <v>0.51234000000000002</v>
          </cell>
        </row>
        <row r="4357">
          <cell r="D4357" t="str">
            <v>長岡市</v>
          </cell>
          <cell r="E4357" t="str">
            <v>2025→2030</v>
          </cell>
          <cell r="F4357">
            <v>0.99939</v>
          </cell>
          <cell r="G4357">
            <v>0.99958999999999998</v>
          </cell>
          <cell r="H4357">
            <v>0.99909000000000003</v>
          </cell>
          <cell r="I4357">
            <v>0.99778</v>
          </cell>
          <cell r="J4357">
            <v>0.99700999999999995</v>
          </cell>
          <cell r="K4357">
            <v>0.99697999999999998</v>
          </cell>
          <cell r="L4357">
            <v>0.99633000000000005</v>
          </cell>
          <cell r="M4357">
            <v>0.99492000000000003</v>
          </cell>
          <cell r="N4357">
            <v>0.99238999999999999</v>
          </cell>
          <cell r="O4357">
            <v>0.98797000000000001</v>
          </cell>
          <cell r="P4357">
            <v>0.98119999999999996</v>
          </cell>
          <cell r="Q4357">
            <v>0.97192999999999996</v>
          </cell>
          <cell r="R4357">
            <v>0.95872000000000002</v>
          </cell>
          <cell r="S4357">
            <v>0.93513000000000002</v>
          </cell>
          <cell r="T4357">
            <v>0.90078999999999998</v>
          </cell>
          <cell r="U4357">
            <v>0.82145999999999997</v>
          </cell>
          <cell r="V4357">
            <v>0.68096999999999996</v>
          </cell>
          <cell r="W4357">
            <v>0.39512999999999998</v>
          </cell>
          <cell r="Y4357">
            <v>0.99936999999999998</v>
          </cell>
          <cell r="Z4357">
            <v>0.99973000000000001</v>
          </cell>
          <cell r="AA4357">
            <v>0.99970999999999999</v>
          </cell>
          <cell r="AB4357">
            <v>0.99902000000000002</v>
          </cell>
          <cell r="AC4357">
            <v>0.99870000000000003</v>
          </cell>
          <cell r="AD4357">
            <v>0.99853999999999998</v>
          </cell>
          <cell r="AE4357">
            <v>0.99800999999999995</v>
          </cell>
          <cell r="AF4357">
            <v>0.99717999999999996</v>
          </cell>
          <cell r="AG4357">
            <v>0.99595</v>
          </cell>
          <cell r="AH4357">
            <v>0.99412999999999996</v>
          </cell>
          <cell r="AI4357">
            <v>0.99131999999999998</v>
          </cell>
          <cell r="AJ4357">
            <v>0.98836999999999997</v>
          </cell>
          <cell r="AK4357">
            <v>0.98255999999999999</v>
          </cell>
          <cell r="AL4357">
            <v>0.97452000000000005</v>
          </cell>
          <cell r="AM4357">
            <v>0.95562999999999998</v>
          </cell>
          <cell r="AN4357">
            <v>0.91535</v>
          </cell>
          <cell r="AO4357">
            <v>0.83492999999999995</v>
          </cell>
          <cell r="AP4357">
            <v>0.52429000000000003</v>
          </cell>
        </row>
        <row r="4358">
          <cell r="D4358" t="str">
            <v>長岡市</v>
          </cell>
          <cell r="E4358" t="str">
            <v>2030→2035</v>
          </cell>
          <cell r="F4358">
            <v>0.99944999999999995</v>
          </cell>
          <cell r="G4358">
            <v>0.99963000000000002</v>
          </cell>
          <cell r="H4358">
            <v>0.99917</v>
          </cell>
          <cell r="I4358">
            <v>0.99792000000000003</v>
          </cell>
          <cell r="J4358">
            <v>0.99714000000000003</v>
          </cell>
          <cell r="K4358">
            <v>0.99711000000000005</v>
          </cell>
          <cell r="L4358">
            <v>0.99651999999999996</v>
          </cell>
          <cell r="M4358">
            <v>0.99519000000000002</v>
          </cell>
          <cell r="N4358">
            <v>0.99278999999999995</v>
          </cell>
          <cell r="O4358">
            <v>0.98858999999999997</v>
          </cell>
          <cell r="P4358">
            <v>0.98211999999999999</v>
          </cell>
          <cell r="Q4358">
            <v>0.97321000000000002</v>
          </cell>
          <cell r="R4358">
            <v>0.96057000000000003</v>
          </cell>
          <cell r="S4358">
            <v>0.93784999999999996</v>
          </cell>
          <cell r="T4358">
            <v>0.90510000000000002</v>
          </cell>
          <cell r="U4358">
            <v>0.83011000000000001</v>
          </cell>
          <cell r="V4358">
            <v>0.69396000000000002</v>
          </cell>
          <cell r="W4358">
            <v>0.40514</v>
          </cell>
          <cell r="Y4358">
            <v>0.99941999999999998</v>
          </cell>
          <cell r="Z4358">
            <v>0.99975000000000003</v>
          </cell>
          <cell r="AA4358">
            <v>0.99972000000000005</v>
          </cell>
          <cell r="AB4358">
            <v>0.99907999999999997</v>
          </cell>
          <cell r="AC4358">
            <v>0.99878</v>
          </cell>
          <cell r="AD4358">
            <v>0.99861</v>
          </cell>
          <cell r="AE4358">
            <v>0.99811000000000005</v>
          </cell>
          <cell r="AF4358">
            <v>0.99731999999999998</v>
          </cell>
          <cell r="AG4358">
            <v>0.99614000000000003</v>
          </cell>
          <cell r="AH4358">
            <v>0.99438000000000004</v>
          </cell>
          <cell r="AI4358">
            <v>0.99168000000000001</v>
          </cell>
          <cell r="AJ4358">
            <v>0.98882999999999999</v>
          </cell>
          <cell r="AK4358">
            <v>0.98331000000000002</v>
          </cell>
          <cell r="AL4358">
            <v>0.97567000000000004</v>
          </cell>
          <cell r="AM4358">
            <v>0.95782999999999996</v>
          </cell>
          <cell r="AN4358">
            <v>0.92027999999999999</v>
          </cell>
          <cell r="AO4358">
            <v>0.84450000000000003</v>
          </cell>
          <cell r="AP4358">
            <v>0.53505999999999998</v>
          </cell>
        </row>
        <row r="4359">
          <cell r="D4359" t="str">
            <v>長岡市</v>
          </cell>
          <cell r="E4359" t="str">
            <v>2035→2040</v>
          </cell>
          <cell r="F4359">
            <v>0.99950000000000006</v>
          </cell>
          <cell r="G4359">
            <v>0.99965999999999999</v>
          </cell>
          <cell r="H4359">
            <v>0.99924000000000002</v>
          </cell>
          <cell r="I4359">
            <v>0.99804999999999999</v>
          </cell>
          <cell r="J4359">
            <v>0.99726000000000004</v>
          </cell>
          <cell r="K4359">
            <v>0.99724000000000002</v>
          </cell>
          <cell r="L4359">
            <v>0.99668999999999996</v>
          </cell>
          <cell r="M4359">
            <v>0.99543999999999999</v>
          </cell>
          <cell r="N4359">
            <v>0.99314999999999998</v>
          </cell>
          <cell r="O4359">
            <v>0.98914000000000002</v>
          </cell>
          <cell r="P4359">
            <v>0.98294000000000004</v>
          </cell>
          <cell r="Q4359">
            <v>0.97431999999999996</v>
          </cell>
          <cell r="R4359">
            <v>0.96218999999999999</v>
          </cell>
          <cell r="S4359">
            <v>0.94027000000000005</v>
          </cell>
          <cell r="T4359">
            <v>0.90885000000000005</v>
          </cell>
          <cell r="U4359">
            <v>0.83774000000000004</v>
          </cell>
          <cell r="V4359">
            <v>0.70577999999999996</v>
          </cell>
          <cell r="W4359">
            <v>0.41437000000000002</v>
          </cell>
          <cell r="Y4359">
            <v>0.99946999999999997</v>
          </cell>
          <cell r="Z4359">
            <v>0.99977000000000005</v>
          </cell>
          <cell r="AA4359">
            <v>0.99973000000000001</v>
          </cell>
          <cell r="AB4359">
            <v>0.99912999999999996</v>
          </cell>
          <cell r="AC4359">
            <v>0.99883999999999995</v>
          </cell>
          <cell r="AD4359">
            <v>0.99868000000000001</v>
          </cell>
          <cell r="AE4359">
            <v>0.99819999999999998</v>
          </cell>
          <cell r="AF4359">
            <v>0.99743999999999999</v>
          </cell>
          <cell r="AG4359">
            <v>0.99629999999999996</v>
          </cell>
          <cell r="AH4359">
            <v>0.99460000000000004</v>
          </cell>
          <cell r="AI4359">
            <v>0.99199000000000004</v>
          </cell>
          <cell r="AJ4359">
            <v>0.98921999999999999</v>
          </cell>
          <cell r="AK4359">
            <v>0.98394999999999999</v>
          </cell>
          <cell r="AL4359">
            <v>0.97663999999999995</v>
          </cell>
          <cell r="AM4359">
            <v>0.95965</v>
          </cell>
          <cell r="AN4359">
            <v>0.92444000000000004</v>
          </cell>
          <cell r="AO4359">
            <v>0.85282000000000002</v>
          </cell>
          <cell r="AP4359">
            <v>0.54481999999999997</v>
          </cell>
        </row>
        <row r="4360">
          <cell r="D4360" t="str">
            <v>長岡市</v>
          </cell>
          <cell r="E4360" t="str">
            <v>2040→2045</v>
          </cell>
          <cell r="F4360">
            <v>0.99953999999999998</v>
          </cell>
          <cell r="G4360">
            <v>0.99970000000000003</v>
          </cell>
          <cell r="H4360">
            <v>0.99929999999999997</v>
          </cell>
          <cell r="I4360">
            <v>0.99817</v>
          </cell>
          <cell r="J4360">
            <v>0.99736999999999998</v>
          </cell>
          <cell r="K4360">
            <v>0.99734999999999996</v>
          </cell>
          <cell r="L4360">
            <v>0.99685000000000001</v>
          </cell>
          <cell r="M4360">
            <v>0.99567000000000005</v>
          </cell>
          <cell r="N4360">
            <v>0.99346999999999996</v>
          </cell>
          <cell r="O4360">
            <v>0.98963999999999996</v>
          </cell>
          <cell r="P4360">
            <v>0.98368</v>
          </cell>
          <cell r="Q4360">
            <v>0.97529999999999994</v>
          </cell>
          <cell r="R4360">
            <v>0.96360999999999997</v>
          </cell>
          <cell r="S4360">
            <v>0.94242999999999999</v>
          </cell>
          <cell r="T4360">
            <v>0.91215000000000002</v>
          </cell>
          <cell r="U4360">
            <v>0.84450000000000003</v>
          </cell>
          <cell r="V4360">
            <v>0.71655000000000002</v>
          </cell>
          <cell r="W4360">
            <v>0.4229</v>
          </cell>
          <cell r="Y4360">
            <v>0.99951999999999996</v>
          </cell>
          <cell r="Z4360">
            <v>0.99978999999999996</v>
          </cell>
          <cell r="AA4360">
            <v>0.99973999999999996</v>
          </cell>
          <cell r="AB4360">
            <v>0.99917999999999996</v>
          </cell>
          <cell r="AC4360">
            <v>0.99890999999999996</v>
          </cell>
          <cell r="AD4360">
            <v>0.99873000000000001</v>
          </cell>
          <cell r="AE4360">
            <v>0.99827999999999995</v>
          </cell>
          <cell r="AF4360">
            <v>0.99755000000000005</v>
          </cell>
          <cell r="AG4360">
            <v>0.99643999999999999</v>
          </cell>
          <cell r="AH4360">
            <v>0.99478</v>
          </cell>
          <cell r="AI4360">
            <v>0.99226000000000003</v>
          </cell>
          <cell r="AJ4360">
            <v>0.98953999999999998</v>
          </cell>
          <cell r="AK4360">
            <v>0.98448000000000002</v>
          </cell>
          <cell r="AL4360">
            <v>0.97746999999999995</v>
          </cell>
          <cell r="AM4360">
            <v>0.96116000000000001</v>
          </cell>
          <cell r="AN4360">
            <v>0.92798000000000003</v>
          </cell>
          <cell r="AO4360">
            <v>0.86007</v>
          </cell>
          <cell r="AP4360">
            <v>0.55367999999999995</v>
          </cell>
        </row>
        <row r="4361">
          <cell r="D4361" t="str">
            <v>三条市</v>
          </cell>
          <cell r="E4361" t="str">
            <v>2015→2020</v>
          </cell>
          <cell r="F4361">
            <v>0.99922999999999995</v>
          </cell>
          <cell r="G4361">
            <v>0.99951000000000001</v>
          </cell>
          <cell r="H4361">
            <v>0.99890999999999996</v>
          </cell>
          <cell r="I4361">
            <v>0.99744999999999995</v>
          </cell>
          <cell r="J4361">
            <v>0.99673</v>
          </cell>
          <cell r="K4361">
            <v>0.99668999999999996</v>
          </cell>
          <cell r="L4361">
            <v>0.99589000000000005</v>
          </cell>
          <cell r="M4361">
            <v>0.99428000000000005</v>
          </cell>
          <cell r="N4361">
            <v>0.99145000000000005</v>
          </cell>
          <cell r="O4361">
            <v>0.98650000000000004</v>
          </cell>
          <cell r="P4361">
            <v>0.97901000000000005</v>
          </cell>
          <cell r="Q4361">
            <v>0.96877000000000002</v>
          </cell>
          <cell r="R4361">
            <v>0.95455999999999996</v>
          </cell>
          <cell r="S4361">
            <v>0.92776000000000003</v>
          </cell>
          <cell r="T4361">
            <v>0.87914000000000003</v>
          </cell>
          <cell r="U4361">
            <v>0.78215000000000001</v>
          </cell>
          <cell r="V4361">
            <v>0.63522999999999996</v>
          </cell>
          <cell r="W4361">
            <v>0.38728000000000001</v>
          </cell>
          <cell r="Y4361">
            <v>0.99922999999999995</v>
          </cell>
          <cell r="Z4361">
            <v>0.99966999999999995</v>
          </cell>
          <cell r="AA4361">
            <v>0.99968000000000001</v>
          </cell>
          <cell r="AB4361">
            <v>0.99888999999999994</v>
          </cell>
          <cell r="AC4361">
            <v>0.99853999999999998</v>
          </cell>
          <cell r="AD4361">
            <v>0.99836999999999998</v>
          </cell>
          <cell r="AE4361">
            <v>0.99777000000000005</v>
          </cell>
          <cell r="AF4361">
            <v>0.99685999999999997</v>
          </cell>
          <cell r="AG4361">
            <v>0.99548999999999999</v>
          </cell>
          <cell r="AH4361">
            <v>0.99348999999999998</v>
          </cell>
          <cell r="AI4361">
            <v>0.99043000000000003</v>
          </cell>
          <cell r="AJ4361">
            <v>0.98716000000000004</v>
          </cell>
          <cell r="AK4361">
            <v>0.97831000000000001</v>
          </cell>
          <cell r="AL4361">
            <v>0.96508000000000005</v>
          </cell>
          <cell r="AM4361">
            <v>0.94191000000000003</v>
          </cell>
          <cell r="AN4361">
            <v>0.89271999999999996</v>
          </cell>
          <cell r="AO4361">
            <v>0.79240999999999995</v>
          </cell>
          <cell r="AP4361">
            <v>0.49228</v>
          </cell>
        </row>
        <row r="4362">
          <cell r="D4362" t="str">
            <v>三条市</v>
          </cell>
          <cell r="E4362" t="str">
            <v>2020→2025</v>
          </cell>
          <cell r="F4362">
            <v>0.99931999999999999</v>
          </cell>
          <cell r="G4362">
            <v>0.99955000000000005</v>
          </cell>
          <cell r="H4362">
            <v>0.999</v>
          </cell>
          <cell r="I4362">
            <v>0.99761999999999995</v>
          </cell>
          <cell r="J4362">
            <v>0.99687000000000003</v>
          </cell>
          <cell r="K4362">
            <v>0.99683999999999995</v>
          </cell>
          <cell r="L4362">
            <v>0.99612000000000001</v>
          </cell>
          <cell r="M4362">
            <v>0.99460999999999999</v>
          </cell>
          <cell r="N4362">
            <v>0.99194000000000004</v>
          </cell>
          <cell r="O4362">
            <v>0.98726999999999998</v>
          </cell>
          <cell r="P4362">
            <v>0.98016000000000003</v>
          </cell>
          <cell r="Q4362">
            <v>0.97045000000000003</v>
          </cell>
          <cell r="R4362">
            <v>0.95696000000000003</v>
          </cell>
          <cell r="S4362">
            <v>0.93128999999999995</v>
          </cell>
          <cell r="T4362">
            <v>0.88507000000000002</v>
          </cell>
          <cell r="U4362">
            <v>0.79313999999999996</v>
          </cell>
          <cell r="V4362">
            <v>0.65073000000000003</v>
          </cell>
          <cell r="W4362">
            <v>0.39983999999999997</v>
          </cell>
          <cell r="Y4362">
            <v>0.99929999999999997</v>
          </cell>
          <cell r="Z4362">
            <v>0.99970000000000003</v>
          </cell>
          <cell r="AA4362">
            <v>0.99970000000000003</v>
          </cell>
          <cell r="AB4362">
            <v>0.99895999999999996</v>
          </cell>
          <cell r="AC4362">
            <v>0.99861999999999995</v>
          </cell>
          <cell r="AD4362">
            <v>0.99846000000000001</v>
          </cell>
          <cell r="AE4362">
            <v>0.99789000000000005</v>
          </cell>
          <cell r="AF4362">
            <v>0.99702999999999997</v>
          </cell>
          <cell r="AG4362">
            <v>0.99573999999999996</v>
          </cell>
          <cell r="AH4362">
            <v>0.99382999999999999</v>
          </cell>
          <cell r="AI4362">
            <v>0.99090999999999996</v>
          </cell>
          <cell r="AJ4362">
            <v>0.98780999999999997</v>
          </cell>
          <cell r="AK4362">
            <v>0.97936000000000001</v>
          </cell>
          <cell r="AL4362">
            <v>0.9667</v>
          </cell>
          <cell r="AM4362">
            <v>0.94516999999999995</v>
          </cell>
          <cell r="AN4362">
            <v>0.89959999999999996</v>
          </cell>
          <cell r="AO4362">
            <v>0.80505000000000004</v>
          </cell>
          <cell r="AP4362">
            <v>0.50553000000000003</v>
          </cell>
        </row>
        <row r="4363">
          <cell r="D4363" t="str">
            <v>三条市</v>
          </cell>
          <cell r="E4363" t="str">
            <v>2025→2030</v>
          </cell>
          <cell r="F4363">
            <v>0.99939</v>
          </cell>
          <cell r="G4363">
            <v>0.99958999999999998</v>
          </cell>
          <cell r="H4363">
            <v>0.99909000000000003</v>
          </cell>
          <cell r="I4363">
            <v>0.99778</v>
          </cell>
          <cell r="J4363">
            <v>0.99700999999999995</v>
          </cell>
          <cell r="K4363">
            <v>0.99697999999999998</v>
          </cell>
          <cell r="L4363">
            <v>0.99633000000000005</v>
          </cell>
          <cell r="M4363">
            <v>0.99492000000000003</v>
          </cell>
          <cell r="N4363">
            <v>0.99238999999999999</v>
          </cell>
          <cell r="O4363">
            <v>0.98797000000000001</v>
          </cell>
          <cell r="P4363">
            <v>0.98119999999999996</v>
          </cell>
          <cell r="Q4363">
            <v>0.97192999999999996</v>
          </cell>
          <cell r="R4363">
            <v>0.95906999999999998</v>
          </cell>
          <cell r="S4363">
            <v>0.93437000000000003</v>
          </cell>
          <cell r="T4363">
            <v>0.89</v>
          </cell>
          <cell r="U4363">
            <v>0.80276000000000003</v>
          </cell>
          <cell r="V4363">
            <v>0.66471999999999998</v>
          </cell>
          <cell r="W4363">
            <v>0.41116000000000003</v>
          </cell>
          <cell r="Y4363">
            <v>0.99936999999999998</v>
          </cell>
          <cell r="Z4363">
            <v>0.99973000000000001</v>
          </cell>
          <cell r="AA4363">
            <v>0.99970999999999999</v>
          </cell>
          <cell r="AB4363">
            <v>0.99902000000000002</v>
          </cell>
          <cell r="AC4363">
            <v>0.99870000000000003</v>
          </cell>
          <cell r="AD4363">
            <v>0.99853999999999998</v>
          </cell>
          <cell r="AE4363">
            <v>0.99800999999999995</v>
          </cell>
          <cell r="AF4363">
            <v>0.99717999999999996</v>
          </cell>
          <cell r="AG4363">
            <v>0.99595</v>
          </cell>
          <cell r="AH4363">
            <v>0.99412999999999996</v>
          </cell>
          <cell r="AI4363">
            <v>0.99131999999999998</v>
          </cell>
          <cell r="AJ4363">
            <v>0.98836999999999997</v>
          </cell>
          <cell r="AK4363">
            <v>0.98024</v>
          </cell>
          <cell r="AL4363">
            <v>0.96806999999999999</v>
          </cell>
          <cell r="AM4363">
            <v>0.94782</v>
          </cell>
          <cell r="AN4363">
            <v>0.90537999999999996</v>
          </cell>
          <cell r="AO4363">
            <v>0.81586000000000003</v>
          </cell>
          <cell r="AP4363">
            <v>0.51731000000000005</v>
          </cell>
        </row>
        <row r="4364">
          <cell r="D4364" t="str">
            <v>三条市</v>
          </cell>
          <cell r="E4364" t="str">
            <v>2030→2035</v>
          </cell>
          <cell r="F4364">
            <v>0.99944999999999995</v>
          </cell>
          <cell r="G4364">
            <v>0.99963000000000002</v>
          </cell>
          <cell r="H4364">
            <v>0.99917</v>
          </cell>
          <cell r="I4364">
            <v>0.99792000000000003</v>
          </cell>
          <cell r="J4364">
            <v>0.99714000000000003</v>
          </cell>
          <cell r="K4364">
            <v>0.99711000000000005</v>
          </cell>
          <cell r="L4364">
            <v>0.99651999999999996</v>
          </cell>
          <cell r="M4364">
            <v>0.99519000000000002</v>
          </cell>
          <cell r="N4364">
            <v>0.99278999999999995</v>
          </cell>
          <cell r="O4364">
            <v>0.98858999999999997</v>
          </cell>
          <cell r="P4364">
            <v>0.98211999999999999</v>
          </cell>
          <cell r="Q4364">
            <v>0.97321000000000002</v>
          </cell>
          <cell r="R4364">
            <v>0.96092</v>
          </cell>
          <cell r="S4364">
            <v>0.93708999999999998</v>
          </cell>
          <cell r="T4364">
            <v>0.89426000000000005</v>
          </cell>
          <cell r="U4364">
            <v>0.81120999999999999</v>
          </cell>
          <cell r="V4364">
            <v>0.6774</v>
          </cell>
          <cell r="W4364">
            <v>0.42157</v>
          </cell>
          <cell r="Y4364">
            <v>0.99941999999999998</v>
          </cell>
          <cell r="Z4364">
            <v>0.99975000000000003</v>
          </cell>
          <cell r="AA4364">
            <v>0.99972000000000005</v>
          </cell>
          <cell r="AB4364">
            <v>0.99907999999999997</v>
          </cell>
          <cell r="AC4364">
            <v>0.99878</v>
          </cell>
          <cell r="AD4364">
            <v>0.99861</v>
          </cell>
          <cell r="AE4364">
            <v>0.99811000000000005</v>
          </cell>
          <cell r="AF4364">
            <v>0.99731999999999998</v>
          </cell>
          <cell r="AG4364">
            <v>0.99614000000000003</v>
          </cell>
          <cell r="AH4364">
            <v>0.99438000000000004</v>
          </cell>
          <cell r="AI4364">
            <v>0.99168000000000001</v>
          </cell>
          <cell r="AJ4364">
            <v>0.98882999999999999</v>
          </cell>
          <cell r="AK4364">
            <v>0.98099999999999998</v>
          </cell>
          <cell r="AL4364">
            <v>0.96921000000000002</v>
          </cell>
          <cell r="AM4364">
            <v>0.95</v>
          </cell>
          <cell r="AN4364">
            <v>0.91025999999999996</v>
          </cell>
          <cell r="AO4364">
            <v>0.82521</v>
          </cell>
          <cell r="AP4364">
            <v>0.52795000000000003</v>
          </cell>
        </row>
        <row r="4365">
          <cell r="D4365" t="str">
            <v>三条市</v>
          </cell>
          <cell r="E4365" t="str">
            <v>2035→2040</v>
          </cell>
          <cell r="F4365">
            <v>0.99950000000000006</v>
          </cell>
          <cell r="G4365">
            <v>0.99965999999999999</v>
          </cell>
          <cell r="H4365">
            <v>0.99924000000000002</v>
          </cell>
          <cell r="I4365">
            <v>0.99804999999999999</v>
          </cell>
          <cell r="J4365">
            <v>0.99726000000000004</v>
          </cell>
          <cell r="K4365">
            <v>0.99724000000000002</v>
          </cell>
          <cell r="L4365">
            <v>0.99668999999999996</v>
          </cell>
          <cell r="M4365">
            <v>0.99543999999999999</v>
          </cell>
          <cell r="N4365">
            <v>0.99314999999999998</v>
          </cell>
          <cell r="O4365">
            <v>0.98914000000000002</v>
          </cell>
          <cell r="P4365">
            <v>0.98294000000000004</v>
          </cell>
          <cell r="Q4365">
            <v>0.97431999999999996</v>
          </cell>
          <cell r="R4365">
            <v>0.96253999999999995</v>
          </cell>
          <cell r="S4365">
            <v>0.93950999999999996</v>
          </cell>
          <cell r="T4365">
            <v>0.89797000000000005</v>
          </cell>
          <cell r="U4365">
            <v>0.81867000000000001</v>
          </cell>
          <cell r="V4365">
            <v>0.68893000000000004</v>
          </cell>
          <cell r="W4365">
            <v>0.43117</v>
          </cell>
          <cell r="Y4365">
            <v>0.99946999999999997</v>
          </cell>
          <cell r="Z4365">
            <v>0.99977000000000005</v>
          </cell>
          <cell r="AA4365">
            <v>0.99973000000000001</v>
          </cell>
          <cell r="AB4365">
            <v>0.99912999999999996</v>
          </cell>
          <cell r="AC4365">
            <v>0.99883999999999995</v>
          </cell>
          <cell r="AD4365">
            <v>0.99868000000000001</v>
          </cell>
          <cell r="AE4365">
            <v>0.99819999999999998</v>
          </cell>
          <cell r="AF4365">
            <v>0.99743999999999999</v>
          </cell>
          <cell r="AG4365">
            <v>0.99629999999999996</v>
          </cell>
          <cell r="AH4365">
            <v>0.99460000000000004</v>
          </cell>
          <cell r="AI4365">
            <v>0.99199000000000004</v>
          </cell>
          <cell r="AJ4365">
            <v>0.98921999999999999</v>
          </cell>
          <cell r="AK4365">
            <v>0.98163</v>
          </cell>
          <cell r="AL4365">
            <v>0.97016999999999998</v>
          </cell>
          <cell r="AM4365">
            <v>0.95181000000000004</v>
          </cell>
          <cell r="AN4365">
            <v>0.91437999999999997</v>
          </cell>
          <cell r="AO4365">
            <v>0.83333000000000002</v>
          </cell>
          <cell r="AP4365">
            <v>0.53756999999999999</v>
          </cell>
        </row>
        <row r="4366">
          <cell r="D4366" t="str">
            <v>三条市</v>
          </cell>
          <cell r="E4366" t="str">
            <v>2040→2045</v>
          </cell>
          <cell r="F4366">
            <v>0.99953999999999998</v>
          </cell>
          <cell r="G4366">
            <v>0.99970000000000003</v>
          </cell>
          <cell r="H4366">
            <v>0.99929999999999997</v>
          </cell>
          <cell r="I4366">
            <v>0.99817</v>
          </cell>
          <cell r="J4366">
            <v>0.99736999999999998</v>
          </cell>
          <cell r="K4366">
            <v>0.99734999999999996</v>
          </cell>
          <cell r="L4366">
            <v>0.99685000000000001</v>
          </cell>
          <cell r="M4366">
            <v>0.99567000000000005</v>
          </cell>
          <cell r="N4366">
            <v>0.99346999999999996</v>
          </cell>
          <cell r="O4366">
            <v>0.98963999999999996</v>
          </cell>
          <cell r="P4366">
            <v>0.98368</v>
          </cell>
          <cell r="Q4366">
            <v>0.97529999999999994</v>
          </cell>
          <cell r="R4366">
            <v>0.96396999999999999</v>
          </cell>
          <cell r="S4366">
            <v>0.94166000000000005</v>
          </cell>
          <cell r="T4366">
            <v>0.90122999999999998</v>
          </cell>
          <cell r="U4366">
            <v>0.82526999999999995</v>
          </cell>
          <cell r="V4366">
            <v>0.69945000000000002</v>
          </cell>
          <cell r="W4366">
            <v>0.44003999999999999</v>
          </cell>
          <cell r="Y4366">
            <v>0.99951999999999996</v>
          </cell>
          <cell r="Z4366">
            <v>0.99978999999999996</v>
          </cell>
          <cell r="AA4366">
            <v>0.99973999999999996</v>
          </cell>
          <cell r="AB4366">
            <v>0.99917999999999996</v>
          </cell>
          <cell r="AC4366">
            <v>0.99890999999999996</v>
          </cell>
          <cell r="AD4366">
            <v>0.99873000000000001</v>
          </cell>
          <cell r="AE4366">
            <v>0.99827999999999995</v>
          </cell>
          <cell r="AF4366">
            <v>0.99755000000000005</v>
          </cell>
          <cell r="AG4366">
            <v>0.99643999999999999</v>
          </cell>
          <cell r="AH4366">
            <v>0.99478</v>
          </cell>
          <cell r="AI4366">
            <v>0.99226000000000003</v>
          </cell>
          <cell r="AJ4366">
            <v>0.98953999999999998</v>
          </cell>
          <cell r="AK4366">
            <v>0.98216000000000003</v>
          </cell>
          <cell r="AL4366">
            <v>0.97099000000000002</v>
          </cell>
          <cell r="AM4366">
            <v>0.95330999999999999</v>
          </cell>
          <cell r="AN4366">
            <v>0.91786999999999996</v>
          </cell>
          <cell r="AO4366">
            <v>0.84041999999999994</v>
          </cell>
          <cell r="AP4366">
            <v>0.54632000000000003</v>
          </cell>
        </row>
        <row r="4367">
          <cell r="D4367" t="str">
            <v>柏崎市</v>
          </cell>
          <cell r="E4367" t="str">
            <v>2015→2020</v>
          </cell>
          <cell r="F4367">
            <v>0.99922999999999995</v>
          </cell>
          <cell r="G4367">
            <v>0.99951000000000001</v>
          </cell>
          <cell r="H4367">
            <v>0.99890999999999996</v>
          </cell>
          <cell r="I4367">
            <v>0.99744999999999995</v>
          </cell>
          <cell r="J4367">
            <v>0.99673</v>
          </cell>
          <cell r="K4367">
            <v>0.99668999999999996</v>
          </cell>
          <cell r="L4367">
            <v>0.99589000000000005</v>
          </cell>
          <cell r="M4367">
            <v>0.99428000000000005</v>
          </cell>
          <cell r="N4367">
            <v>0.99145000000000005</v>
          </cell>
          <cell r="O4367">
            <v>0.98650000000000004</v>
          </cell>
          <cell r="P4367">
            <v>0.97901000000000005</v>
          </cell>
          <cell r="Q4367">
            <v>0.96877000000000002</v>
          </cell>
          <cell r="R4367">
            <v>0.95186999999999999</v>
          </cell>
          <cell r="S4367">
            <v>0.92364999999999997</v>
          </cell>
          <cell r="T4367">
            <v>0.88275000000000003</v>
          </cell>
          <cell r="U4367">
            <v>0.79544999999999999</v>
          </cell>
          <cell r="V4367">
            <v>0.65315999999999996</v>
          </cell>
          <cell r="W4367">
            <v>0.38030999999999998</v>
          </cell>
          <cell r="Y4367">
            <v>0.99922999999999995</v>
          </cell>
          <cell r="Z4367">
            <v>0.99966999999999995</v>
          </cell>
          <cell r="AA4367">
            <v>0.99968000000000001</v>
          </cell>
          <cell r="AB4367">
            <v>0.99888999999999994</v>
          </cell>
          <cell r="AC4367">
            <v>0.99853999999999998</v>
          </cell>
          <cell r="AD4367">
            <v>0.99836999999999998</v>
          </cell>
          <cell r="AE4367">
            <v>0.99777000000000005</v>
          </cell>
          <cell r="AF4367">
            <v>0.99685999999999997</v>
          </cell>
          <cell r="AG4367">
            <v>0.99548999999999999</v>
          </cell>
          <cell r="AH4367">
            <v>0.99348999999999998</v>
          </cell>
          <cell r="AI4367">
            <v>0.99043000000000003</v>
          </cell>
          <cell r="AJ4367">
            <v>0.98716000000000004</v>
          </cell>
          <cell r="AK4367">
            <v>0.97943999999999998</v>
          </cell>
          <cell r="AL4367">
            <v>0.97099999999999997</v>
          </cell>
          <cell r="AM4367">
            <v>0.94852999999999998</v>
          </cell>
          <cell r="AN4367">
            <v>0.89609000000000005</v>
          </cell>
          <cell r="AO4367">
            <v>0.80798999999999999</v>
          </cell>
          <cell r="AP4367">
            <v>0.48453000000000002</v>
          </cell>
        </row>
        <row r="4368">
          <cell r="D4368" t="str">
            <v>柏崎市</v>
          </cell>
          <cell r="E4368" t="str">
            <v>2020→2025</v>
          </cell>
          <cell r="F4368">
            <v>0.99931999999999999</v>
          </cell>
          <cell r="G4368">
            <v>0.99955000000000005</v>
          </cell>
          <cell r="H4368">
            <v>0.999</v>
          </cell>
          <cell r="I4368">
            <v>0.99761999999999995</v>
          </cell>
          <cell r="J4368">
            <v>0.99687000000000003</v>
          </cell>
          <cell r="K4368">
            <v>0.99683999999999995</v>
          </cell>
          <cell r="L4368">
            <v>0.99612000000000001</v>
          </cell>
          <cell r="M4368">
            <v>0.99460999999999999</v>
          </cell>
          <cell r="N4368">
            <v>0.99194000000000004</v>
          </cell>
          <cell r="O4368">
            <v>0.98726999999999998</v>
          </cell>
          <cell r="P4368">
            <v>0.98016000000000003</v>
          </cell>
          <cell r="Q4368">
            <v>0.97045000000000003</v>
          </cell>
          <cell r="R4368">
            <v>0.95426</v>
          </cell>
          <cell r="S4368">
            <v>0.92717000000000005</v>
          </cell>
          <cell r="T4368">
            <v>0.88870000000000005</v>
          </cell>
          <cell r="U4368">
            <v>0.80662</v>
          </cell>
          <cell r="V4368">
            <v>0.66910000000000003</v>
          </cell>
          <cell r="W4368">
            <v>0.39263999999999999</v>
          </cell>
          <cell r="Y4368">
            <v>0.99929999999999997</v>
          </cell>
          <cell r="Z4368">
            <v>0.99970000000000003</v>
          </cell>
          <cell r="AA4368">
            <v>0.99970000000000003</v>
          </cell>
          <cell r="AB4368">
            <v>0.99895999999999996</v>
          </cell>
          <cell r="AC4368">
            <v>0.99861999999999995</v>
          </cell>
          <cell r="AD4368">
            <v>0.99846000000000001</v>
          </cell>
          <cell r="AE4368">
            <v>0.99789000000000005</v>
          </cell>
          <cell r="AF4368">
            <v>0.99702999999999997</v>
          </cell>
          <cell r="AG4368">
            <v>0.99573999999999996</v>
          </cell>
          <cell r="AH4368">
            <v>0.99382999999999999</v>
          </cell>
          <cell r="AI4368">
            <v>0.99090999999999996</v>
          </cell>
          <cell r="AJ4368">
            <v>0.98780999999999997</v>
          </cell>
          <cell r="AK4368">
            <v>0.98048000000000002</v>
          </cell>
          <cell r="AL4368">
            <v>0.97263999999999995</v>
          </cell>
          <cell r="AM4368">
            <v>0.95181000000000004</v>
          </cell>
          <cell r="AN4368">
            <v>0.90300000000000002</v>
          </cell>
          <cell r="AO4368">
            <v>0.82088000000000005</v>
          </cell>
          <cell r="AP4368">
            <v>0.49756</v>
          </cell>
        </row>
        <row r="4369">
          <cell r="D4369" t="str">
            <v>柏崎市</v>
          </cell>
          <cell r="E4369" t="str">
            <v>2025→2030</v>
          </cell>
          <cell r="F4369">
            <v>0.99939</v>
          </cell>
          <cell r="G4369">
            <v>0.99958999999999998</v>
          </cell>
          <cell r="H4369">
            <v>0.99909000000000003</v>
          </cell>
          <cell r="I4369">
            <v>0.99778</v>
          </cell>
          <cell r="J4369">
            <v>0.99700999999999995</v>
          </cell>
          <cell r="K4369">
            <v>0.99697999999999998</v>
          </cell>
          <cell r="L4369">
            <v>0.99633000000000005</v>
          </cell>
          <cell r="M4369">
            <v>0.99492000000000003</v>
          </cell>
          <cell r="N4369">
            <v>0.99238999999999999</v>
          </cell>
          <cell r="O4369">
            <v>0.98797000000000001</v>
          </cell>
          <cell r="P4369">
            <v>0.98119999999999996</v>
          </cell>
          <cell r="Q4369">
            <v>0.97192999999999996</v>
          </cell>
          <cell r="R4369">
            <v>0.95635999999999999</v>
          </cell>
          <cell r="S4369">
            <v>0.93023</v>
          </cell>
          <cell r="T4369">
            <v>0.89366000000000001</v>
          </cell>
          <cell r="U4369">
            <v>0.81640999999999997</v>
          </cell>
          <cell r="V4369">
            <v>0.68347999999999998</v>
          </cell>
          <cell r="W4369">
            <v>0.40375</v>
          </cell>
          <cell r="Y4369">
            <v>0.99936999999999998</v>
          </cell>
          <cell r="Z4369">
            <v>0.99973000000000001</v>
          </cell>
          <cell r="AA4369">
            <v>0.99970999999999999</v>
          </cell>
          <cell r="AB4369">
            <v>0.99902000000000002</v>
          </cell>
          <cell r="AC4369">
            <v>0.99870000000000003</v>
          </cell>
          <cell r="AD4369">
            <v>0.99853999999999998</v>
          </cell>
          <cell r="AE4369">
            <v>0.99800999999999995</v>
          </cell>
          <cell r="AF4369">
            <v>0.99717999999999996</v>
          </cell>
          <cell r="AG4369">
            <v>0.99595</v>
          </cell>
          <cell r="AH4369">
            <v>0.99412999999999996</v>
          </cell>
          <cell r="AI4369">
            <v>0.99131999999999998</v>
          </cell>
          <cell r="AJ4369">
            <v>0.98836999999999997</v>
          </cell>
          <cell r="AK4369">
            <v>0.98136999999999996</v>
          </cell>
          <cell r="AL4369">
            <v>0.97401000000000004</v>
          </cell>
          <cell r="AM4369">
            <v>0.95448999999999995</v>
          </cell>
          <cell r="AN4369">
            <v>0.90880000000000005</v>
          </cell>
          <cell r="AO4369">
            <v>0.83189999999999997</v>
          </cell>
          <cell r="AP4369">
            <v>0.50915999999999995</v>
          </cell>
        </row>
        <row r="4370">
          <cell r="D4370" t="str">
            <v>柏崎市</v>
          </cell>
          <cell r="E4370" t="str">
            <v>2030→2035</v>
          </cell>
          <cell r="F4370">
            <v>0.99944999999999995</v>
          </cell>
          <cell r="G4370">
            <v>0.99963000000000002</v>
          </cell>
          <cell r="H4370">
            <v>0.99917</v>
          </cell>
          <cell r="I4370">
            <v>0.99792000000000003</v>
          </cell>
          <cell r="J4370">
            <v>0.99714000000000003</v>
          </cell>
          <cell r="K4370">
            <v>0.99711000000000005</v>
          </cell>
          <cell r="L4370">
            <v>0.99651999999999996</v>
          </cell>
          <cell r="M4370">
            <v>0.99519000000000002</v>
          </cell>
          <cell r="N4370">
            <v>0.99278999999999995</v>
          </cell>
          <cell r="O4370">
            <v>0.98858999999999997</v>
          </cell>
          <cell r="P4370">
            <v>0.98211999999999999</v>
          </cell>
          <cell r="Q4370">
            <v>0.97321000000000002</v>
          </cell>
          <cell r="R4370">
            <v>0.95821000000000001</v>
          </cell>
          <cell r="S4370">
            <v>0.93293999999999999</v>
          </cell>
          <cell r="T4370">
            <v>0.89793000000000001</v>
          </cell>
          <cell r="U4370">
            <v>0.82499999999999996</v>
          </cell>
          <cell r="V4370">
            <v>0.69652000000000003</v>
          </cell>
          <cell r="W4370">
            <v>0.41398000000000001</v>
          </cell>
          <cell r="Y4370">
            <v>0.99941999999999998</v>
          </cell>
          <cell r="Z4370">
            <v>0.99975000000000003</v>
          </cell>
          <cell r="AA4370">
            <v>0.99972000000000005</v>
          </cell>
          <cell r="AB4370">
            <v>0.99907999999999997</v>
          </cell>
          <cell r="AC4370">
            <v>0.99878</v>
          </cell>
          <cell r="AD4370">
            <v>0.99861</v>
          </cell>
          <cell r="AE4370">
            <v>0.99811000000000005</v>
          </cell>
          <cell r="AF4370">
            <v>0.99731999999999998</v>
          </cell>
          <cell r="AG4370">
            <v>0.99614000000000003</v>
          </cell>
          <cell r="AH4370">
            <v>0.99438000000000004</v>
          </cell>
          <cell r="AI4370">
            <v>0.99168000000000001</v>
          </cell>
          <cell r="AJ4370">
            <v>0.98882999999999999</v>
          </cell>
          <cell r="AK4370">
            <v>0.98211999999999999</v>
          </cell>
          <cell r="AL4370">
            <v>0.97516000000000003</v>
          </cell>
          <cell r="AM4370">
            <v>0.95667999999999997</v>
          </cell>
          <cell r="AN4370">
            <v>0.91369</v>
          </cell>
          <cell r="AO4370">
            <v>0.84143000000000001</v>
          </cell>
          <cell r="AP4370">
            <v>0.51961999999999997</v>
          </cell>
        </row>
        <row r="4371">
          <cell r="D4371" t="str">
            <v>柏崎市</v>
          </cell>
          <cell r="E4371" t="str">
            <v>2035→2040</v>
          </cell>
          <cell r="F4371">
            <v>0.99950000000000006</v>
          </cell>
          <cell r="G4371">
            <v>0.99965999999999999</v>
          </cell>
          <cell r="H4371">
            <v>0.99924000000000002</v>
          </cell>
          <cell r="I4371">
            <v>0.99804999999999999</v>
          </cell>
          <cell r="J4371">
            <v>0.99726000000000004</v>
          </cell>
          <cell r="K4371">
            <v>0.99724000000000002</v>
          </cell>
          <cell r="L4371">
            <v>0.99668999999999996</v>
          </cell>
          <cell r="M4371">
            <v>0.99543999999999999</v>
          </cell>
          <cell r="N4371">
            <v>0.99314999999999998</v>
          </cell>
          <cell r="O4371">
            <v>0.98914000000000002</v>
          </cell>
          <cell r="P4371">
            <v>0.98294000000000004</v>
          </cell>
          <cell r="Q4371">
            <v>0.97431999999999996</v>
          </cell>
          <cell r="R4371">
            <v>0.95982000000000001</v>
          </cell>
          <cell r="S4371">
            <v>0.93535000000000001</v>
          </cell>
          <cell r="T4371">
            <v>0.90166000000000002</v>
          </cell>
          <cell r="U4371">
            <v>0.83259000000000005</v>
          </cell>
          <cell r="V4371">
            <v>0.70838000000000001</v>
          </cell>
          <cell r="W4371">
            <v>0.42341000000000001</v>
          </cell>
          <cell r="Y4371">
            <v>0.99946999999999997</v>
          </cell>
          <cell r="Z4371">
            <v>0.99977000000000005</v>
          </cell>
          <cell r="AA4371">
            <v>0.99973000000000001</v>
          </cell>
          <cell r="AB4371">
            <v>0.99912999999999996</v>
          </cell>
          <cell r="AC4371">
            <v>0.99883999999999995</v>
          </cell>
          <cell r="AD4371">
            <v>0.99868000000000001</v>
          </cell>
          <cell r="AE4371">
            <v>0.99819999999999998</v>
          </cell>
          <cell r="AF4371">
            <v>0.99743999999999999</v>
          </cell>
          <cell r="AG4371">
            <v>0.99629999999999996</v>
          </cell>
          <cell r="AH4371">
            <v>0.99460000000000004</v>
          </cell>
          <cell r="AI4371">
            <v>0.99199000000000004</v>
          </cell>
          <cell r="AJ4371">
            <v>0.98921999999999999</v>
          </cell>
          <cell r="AK4371">
            <v>0.98275999999999997</v>
          </cell>
          <cell r="AL4371">
            <v>0.97613000000000005</v>
          </cell>
          <cell r="AM4371">
            <v>0.95850000000000002</v>
          </cell>
          <cell r="AN4371">
            <v>0.91783000000000003</v>
          </cell>
          <cell r="AO4371">
            <v>0.84972000000000003</v>
          </cell>
          <cell r="AP4371">
            <v>0.52910000000000001</v>
          </cell>
        </row>
        <row r="4372">
          <cell r="D4372" t="str">
            <v>柏崎市</v>
          </cell>
          <cell r="E4372" t="str">
            <v>2040→2045</v>
          </cell>
          <cell r="F4372">
            <v>0.99953999999999998</v>
          </cell>
          <cell r="G4372">
            <v>0.99970000000000003</v>
          </cell>
          <cell r="H4372">
            <v>0.99929999999999997</v>
          </cell>
          <cell r="I4372">
            <v>0.99817</v>
          </cell>
          <cell r="J4372">
            <v>0.99736999999999998</v>
          </cell>
          <cell r="K4372">
            <v>0.99734999999999996</v>
          </cell>
          <cell r="L4372">
            <v>0.99685000000000001</v>
          </cell>
          <cell r="M4372">
            <v>0.99567000000000005</v>
          </cell>
          <cell r="N4372">
            <v>0.99346999999999996</v>
          </cell>
          <cell r="O4372">
            <v>0.98963999999999996</v>
          </cell>
          <cell r="P4372">
            <v>0.98368</v>
          </cell>
          <cell r="Q4372">
            <v>0.97529999999999994</v>
          </cell>
          <cell r="R4372">
            <v>0.96123999999999998</v>
          </cell>
          <cell r="S4372">
            <v>0.9375</v>
          </cell>
          <cell r="T4372">
            <v>0.90493000000000001</v>
          </cell>
          <cell r="U4372">
            <v>0.83930000000000005</v>
          </cell>
          <cell r="V4372">
            <v>0.71919</v>
          </cell>
          <cell r="W4372">
            <v>0.43212</v>
          </cell>
          <cell r="Y4372">
            <v>0.99951999999999996</v>
          </cell>
          <cell r="Z4372">
            <v>0.99978999999999996</v>
          </cell>
          <cell r="AA4372">
            <v>0.99973999999999996</v>
          </cell>
          <cell r="AB4372">
            <v>0.99917999999999996</v>
          </cell>
          <cell r="AC4372">
            <v>0.99890999999999996</v>
          </cell>
          <cell r="AD4372">
            <v>0.99873000000000001</v>
          </cell>
          <cell r="AE4372">
            <v>0.99827999999999995</v>
          </cell>
          <cell r="AF4372">
            <v>0.99755000000000005</v>
          </cell>
          <cell r="AG4372">
            <v>0.99643999999999999</v>
          </cell>
          <cell r="AH4372">
            <v>0.99478</v>
          </cell>
          <cell r="AI4372">
            <v>0.99226000000000003</v>
          </cell>
          <cell r="AJ4372">
            <v>0.98953999999999998</v>
          </cell>
          <cell r="AK4372">
            <v>0.98329</v>
          </cell>
          <cell r="AL4372">
            <v>0.97696000000000005</v>
          </cell>
          <cell r="AM4372">
            <v>0.96001000000000003</v>
          </cell>
          <cell r="AN4372">
            <v>0.92134000000000005</v>
          </cell>
          <cell r="AO4372">
            <v>0.85694000000000004</v>
          </cell>
          <cell r="AP4372">
            <v>0.53771000000000002</v>
          </cell>
        </row>
        <row r="4373">
          <cell r="D4373" t="str">
            <v>新発田市</v>
          </cell>
          <cell r="E4373" t="str">
            <v>2015→2020</v>
          </cell>
          <cell r="F4373">
            <v>0.99922999999999995</v>
          </cell>
          <cell r="G4373">
            <v>0.99951000000000001</v>
          </cell>
          <cell r="H4373">
            <v>0.99890999999999996</v>
          </cell>
          <cell r="I4373">
            <v>0.99744999999999995</v>
          </cell>
          <cell r="J4373">
            <v>0.99673</v>
          </cell>
          <cell r="K4373">
            <v>0.99668999999999996</v>
          </cell>
          <cell r="L4373">
            <v>0.99589000000000005</v>
          </cell>
          <cell r="M4373">
            <v>0.99428000000000005</v>
          </cell>
          <cell r="N4373">
            <v>0.99145000000000005</v>
          </cell>
          <cell r="O4373">
            <v>0.98650000000000004</v>
          </cell>
          <cell r="P4373">
            <v>0.97901000000000005</v>
          </cell>
          <cell r="Q4373">
            <v>0.96877000000000002</v>
          </cell>
          <cell r="R4373">
            <v>0.95028999999999997</v>
          </cell>
          <cell r="S4373">
            <v>0.92357</v>
          </cell>
          <cell r="T4373">
            <v>0.87975999999999999</v>
          </cell>
          <cell r="U4373">
            <v>0.78903000000000001</v>
          </cell>
          <cell r="V4373">
            <v>0.64088999999999996</v>
          </cell>
          <cell r="W4373">
            <v>0.35548000000000002</v>
          </cell>
          <cell r="Y4373">
            <v>0.99922999999999995</v>
          </cell>
          <cell r="Z4373">
            <v>0.99966999999999995</v>
          </cell>
          <cell r="AA4373">
            <v>0.99968000000000001</v>
          </cell>
          <cell r="AB4373">
            <v>0.99888999999999994</v>
          </cell>
          <cell r="AC4373">
            <v>0.99853999999999998</v>
          </cell>
          <cell r="AD4373">
            <v>0.99836999999999998</v>
          </cell>
          <cell r="AE4373">
            <v>0.99777000000000005</v>
          </cell>
          <cell r="AF4373">
            <v>0.99685999999999997</v>
          </cell>
          <cell r="AG4373">
            <v>0.99548999999999999</v>
          </cell>
          <cell r="AH4373">
            <v>0.99348999999999998</v>
          </cell>
          <cell r="AI4373">
            <v>0.99043000000000003</v>
          </cell>
          <cell r="AJ4373">
            <v>0.98716000000000004</v>
          </cell>
          <cell r="AK4373">
            <v>0.98124</v>
          </cell>
          <cell r="AL4373">
            <v>0.97202999999999995</v>
          </cell>
          <cell r="AM4373">
            <v>0.95125999999999999</v>
          </cell>
          <cell r="AN4373">
            <v>0.89742</v>
          </cell>
          <cell r="AO4373">
            <v>0.78276999999999997</v>
          </cell>
          <cell r="AP4373">
            <v>0.46675</v>
          </cell>
        </row>
        <row r="4374">
          <cell r="D4374" t="str">
            <v>新発田市</v>
          </cell>
          <cell r="E4374" t="str">
            <v>2020→2025</v>
          </cell>
          <cell r="F4374">
            <v>0.99931999999999999</v>
          </cell>
          <cell r="G4374">
            <v>0.99955000000000005</v>
          </cell>
          <cell r="H4374">
            <v>0.999</v>
          </cell>
          <cell r="I4374">
            <v>0.99761999999999995</v>
          </cell>
          <cell r="J4374">
            <v>0.99687000000000003</v>
          </cell>
          <cell r="K4374">
            <v>0.99683999999999995</v>
          </cell>
          <cell r="L4374">
            <v>0.99612000000000001</v>
          </cell>
          <cell r="M4374">
            <v>0.99460999999999999</v>
          </cell>
          <cell r="N4374">
            <v>0.99194000000000004</v>
          </cell>
          <cell r="O4374">
            <v>0.98726999999999998</v>
          </cell>
          <cell r="P4374">
            <v>0.98016000000000003</v>
          </cell>
          <cell r="Q4374">
            <v>0.97045000000000003</v>
          </cell>
          <cell r="R4374">
            <v>0.95267000000000002</v>
          </cell>
          <cell r="S4374">
            <v>0.92708999999999997</v>
          </cell>
          <cell r="T4374">
            <v>0.88568999999999998</v>
          </cell>
          <cell r="U4374">
            <v>0.80010999999999999</v>
          </cell>
          <cell r="V4374">
            <v>0.65652999999999995</v>
          </cell>
          <cell r="W4374">
            <v>0.36699999999999999</v>
          </cell>
          <cell r="Y4374">
            <v>0.99929999999999997</v>
          </cell>
          <cell r="Z4374">
            <v>0.99970000000000003</v>
          </cell>
          <cell r="AA4374">
            <v>0.99970000000000003</v>
          </cell>
          <cell r="AB4374">
            <v>0.99895999999999996</v>
          </cell>
          <cell r="AC4374">
            <v>0.99861999999999995</v>
          </cell>
          <cell r="AD4374">
            <v>0.99846000000000001</v>
          </cell>
          <cell r="AE4374">
            <v>0.99789000000000005</v>
          </cell>
          <cell r="AF4374">
            <v>0.99702999999999997</v>
          </cell>
          <cell r="AG4374">
            <v>0.99573999999999996</v>
          </cell>
          <cell r="AH4374">
            <v>0.99382999999999999</v>
          </cell>
          <cell r="AI4374">
            <v>0.99090999999999996</v>
          </cell>
          <cell r="AJ4374">
            <v>0.98780999999999997</v>
          </cell>
          <cell r="AK4374">
            <v>0.98229</v>
          </cell>
          <cell r="AL4374">
            <v>0.97367000000000004</v>
          </cell>
          <cell r="AM4374">
            <v>0.95455000000000001</v>
          </cell>
          <cell r="AN4374">
            <v>0.90434000000000003</v>
          </cell>
          <cell r="AO4374">
            <v>0.79525999999999997</v>
          </cell>
          <cell r="AP4374">
            <v>0.4793</v>
          </cell>
        </row>
        <row r="4375">
          <cell r="D4375" t="str">
            <v>新発田市</v>
          </cell>
          <cell r="E4375" t="str">
            <v>2025→2030</v>
          </cell>
          <cell r="F4375">
            <v>0.99939</v>
          </cell>
          <cell r="G4375">
            <v>0.99958999999999998</v>
          </cell>
          <cell r="H4375">
            <v>0.99909000000000003</v>
          </cell>
          <cell r="I4375">
            <v>0.99778</v>
          </cell>
          <cell r="J4375">
            <v>0.99700999999999995</v>
          </cell>
          <cell r="K4375">
            <v>0.99697999999999998</v>
          </cell>
          <cell r="L4375">
            <v>0.99633000000000005</v>
          </cell>
          <cell r="M4375">
            <v>0.99492000000000003</v>
          </cell>
          <cell r="N4375">
            <v>0.99238999999999999</v>
          </cell>
          <cell r="O4375">
            <v>0.98797000000000001</v>
          </cell>
          <cell r="P4375">
            <v>0.98119999999999996</v>
          </cell>
          <cell r="Q4375">
            <v>0.97192999999999996</v>
          </cell>
          <cell r="R4375">
            <v>0.95477999999999996</v>
          </cell>
          <cell r="S4375">
            <v>0.93015000000000003</v>
          </cell>
          <cell r="T4375">
            <v>0.89063000000000003</v>
          </cell>
          <cell r="U4375">
            <v>0.80981999999999998</v>
          </cell>
          <cell r="V4375">
            <v>0.67064000000000001</v>
          </cell>
          <cell r="W4375">
            <v>0.37739</v>
          </cell>
          <cell r="Y4375">
            <v>0.99936999999999998</v>
          </cell>
          <cell r="Z4375">
            <v>0.99973000000000001</v>
          </cell>
          <cell r="AA4375">
            <v>0.99970999999999999</v>
          </cell>
          <cell r="AB4375">
            <v>0.99902000000000002</v>
          </cell>
          <cell r="AC4375">
            <v>0.99870000000000003</v>
          </cell>
          <cell r="AD4375">
            <v>0.99853999999999998</v>
          </cell>
          <cell r="AE4375">
            <v>0.99800999999999995</v>
          </cell>
          <cell r="AF4375">
            <v>0.99717999999999996</v>
          </cell>
          <cell r="AG4375">
            <v>0.99595</v>
          </cell>
          <cell r="AH4375">
            <v>0.99412999999999996</v>
          </cell>
          <cell r="AI4375">
            <v>0.99131999999999998</v>
          </cell>
          <cell r="AJ4375">
            <v>0.98836999999999997</v>
          </cell>
          <cell r="AK4375">
            <v>0.98318000000000005</v>
          </cell>
          <cell r="AL4375">
            <v>0.97504000000000002</v>
          </cell>
          <cell r="AM4375">
            <v>0.95723000000000003</v>
          </cell>
          <cell r="AN4375">
            <v>0.91015000000000001</v>
          </cell>
          <cell r="AO4375">
            <v>0.80593000000000004</v>
          </cell>
          <cell r="AP4375">
            <v>0.49048000000000003</v>
          </cell>
        </row>
        <row r="4376">
          <cell r="D4376" t="str">
            <v>新発田市</v>
          </cell>
          <cell r="E4376" t="str">
            <v>2030→2035</v>
          </cell>
          <cell r="F4376">
            <v>0.99944999999999995</v>
          </cell>
          <cell r="G4376">
            <v>0.99963000000000002</v>
          </cell>
          <cell r="H4376">
            <v>0.99917</v>
          </cell>
          <cell r="I4376">
            <v>0.99792000000000003</v>
          </cell>
          <cell r="J4376">
            <v>0.99714000000000003</v>
          </cell>
          <cell r="K4376">
            <v>0.99711000000000005</v>
          </cell>
          <cell r="L4376">
            <v>0.99651999999999996</v>
          </cell>
          <cell r="M4376">
            <v>0.99519000000000002</v>
          </cell>
          <cell r="N4376">
            <v>0.99278999999999995</v>
          </cell>
          <cell r="O4376">
            <v>0.98858999999999997</v>
          </cell>
          <cell r="P4376">
            <v>0.98211999999999999</v>
          </cell>
          <cell r="Q4376">
            <v>0.97321000000000002</v>
          </cell>
          <cell r="R4376">
            <v>0.95662000000000003</v>
          </cell>
          <cell r="S4376">
            <v>0.93286000000000002</v>
          </cell>
          <cell r="T4376">
            <v>0.89490000000000003</v>
          </cell>
          <cell r="U4376">
            <v>0.81833999999999996</v>
          </cell>
          <cell r="V4376">
            <v>0.68342999999999998</v>
          </cell>
          <cell r="W4376">
            <v>0.38695000000000002</v>
          </cell>
          <cell r="Y4376">
            <v>0.99941999999999998</v>
          </cell>
          <cell r="Z4376">
            <v>0.99975000000000003</v>
          </cell>
          <cell r="AA4376">
            <v>0.99972000000000005</v>
          </cell>
          <cell r="AB4376">
            <v>0.99907999999999997</v>
          </cell>
          <cell r="AC4376">
            <v>0.99878</v>
          </cell>
          <cell r="AD4376">
            <v>0.99861</v>
          </cell>
          <cell r="AE4376">
            <v>0.99811000000000005</v>
          </cell>
          <cell r="AF4376">
            <v>0.99731999999999998</v>
          </cell>
          <cell r="AG4376">
            <v>0.99614000000000003</v>
          </cell>
          <cell r="AH4376">
            <v>0.99438000000000004</v>
          </cell>
          <cell r="AI4376">
            <v>0.99168000000000001</v>
          </cell>
          <cell r="AJ4376">
            <v>0.98882999999999999</v>
          </cell>
          <cell r="AK4376">
            <v>0.98392999999999997</v>
          </cell>
          <cell r="AL4376">
            <v>0.97619</v>
          </cell>
          <cell r="AM4376">
            <v>0.95943000000000001</v>
          </cell>
          <cell r="AN4376">
            <v>0.91505000000000003</v>
          </cell>
          <cell r="AO4376">
            <v>0.81516999999999995</v>
          </cell>
          <cell r="AP4376">
            <v>0.50056</v>
          </cell>
        </row>
        <row r="4377">
          <cell r="D4377" t="str">
            <v>新発田市</v>
          </cell>
          <cell r="E4377" t="str">
            <v>2035→2040</v>
          </cell>
          <cell r="F4377">
            <v>0.99950000000000006</v>
          </cell>
          <cell r="G4377">
            <v>0.99965999999999999</v>
          </cell>
          <cell r="H4377">
            <v>0.99924000000000002</v>
          </cell>
          <cell r="I4377">
            <v>0.99804999999999999</v>
          </cell>
          <cell r="J4377">
            <v>0.99726000000000004</v>
          </cell>
          <cell r="K4377">
            <v>0.99724000000000002</v>
          </cell>
          <cell r="L4377">
            <v>0.99668999999999996</v>
          </cell>
          <cell r="M4377">
            <v>0.99543999999999999</v>
          </cell>
          <cell r="N4377">
            <v>0.99314999999999998</v>
          </cell>
          <cell r="O4377">
            <v>0.98914000000000002</v>
          </cell>
          <cell r="P4377">
            <v>0.98294000000000004</v>
          </cell>
          <cell r="Q4377">
            <v>0.97431999999999996</v>
          </cell>
          <cell r="R4377">
            <v>0.95823000000000003</v>
          </cell>
          <cell r="S4377">
            <v>0.93527000000000005</v>
          </cell>
          <cell r="T4377">
            <v>0.89861000000000002</v>
          </cell>
          <cell r="U4377">
            <v>0.82586999999999999</v>
          </cell>
          <cell r="V4377">
            <v>0.69506999999999997</v>
          </cell>
          <cell r="W4377">
            <v>0.39576</v>
          </cell>
          <cell r="Y4377">
            <v>0.99946999999999997</v>
          </cell>
          <cell r="Z4377">
            <v>0.99977000000000005</v>
          </cell>
          <cell r="AA4377">
            <v>0.99973000000000001</v>
          </cell>
          <cell r="AB4377">
            <v>0.99912999999999996</v>
          </cell>
          <cell r="AC4377">
            <v>0.99883999999999995</v>
          </cell>
          <cell r="AD4377">
            <v>0.99868000000000001</v>
          </cell>
          <cell r="AE4377">
            <v>0.99819999999999998</v>
          </cell>
          <cell r="AF4377">
            <v>0.99743999999999999</v>
          </cell>
          <cell r="AG4377">
            <v>0.99629999999999996</v>
          </cell>
          <cell r="AH4377">
            <v>0.99460000000000004</v>
          </cell>
          <cell r="AI4377">
            <v>0.99199000000000004</v>
          </cell>
          <cell r="AJ4377">
            <v>0.98921999999999999</v>
          </cell>
          <cell r="AK4377">
            <v>0.98456999999999995</v>
          </cell>
          <cell r="AL4377">
            <v>0.97716000000000003</v>
          </cell>
          <cell r="AM4377">
            <v>0.96126</v>
          </cell>
          <cell r="AN4377">
            <v>0.91918999999999995</v>
          </cell>
          <cell r="AO4377">
            <v>0.82320000000000004</v>
          </cell>
          <cell r="AP4377">
            <v>0.50968999999999998</v>
          </cell>
        </row>
        <row r="4378">
          <cell r="D4378" t="str">
            <v>新発田市</v>
          </cell>
          <cell r="E4378" t="str">
            <v>2040→2045</v>
          </cell>
          <cell r="F4378">
            <v>0.99953999999999998</v>
          </cell>
          <cell r="G4378">
            <v>0.99970000000000003</v>
          </cell>
          <cell r="H4378">
            <v>0.99929999999999997</v>
          </cell>
          <cell r="I4378">
            <v>0.99817</v>
          </cell>
          <cell r="J4378">
            <v>0.99736999999999998</v>
          </cell>
          <cell r="K4378">
            <v>0.99734999999999996</v>
          </cell>
          <cell r="L4378">
            <v>0.99685000000000001</v>
          </cell>
          <cell r="M4378">
            <v>0.99567000000000005</v>
          </cell>
          <cell r="N4378">
            <v>0.99346999999999996</v>
          </cell>
          <cell r="O4378">
            <v>0.98963999999999996</v>
          </cell>
          <cell r="P4378">
            <v>0.98368</v>
          </cell>
          <cell r="Q4378">
            <v>0.97529999999999994</v>
          </cell>
          <cell r="R4378">
            <v>0.95965</v>
          </cell>
          <cell r="S4378">
            <v>0.93742000000000003</v>
          </cell>
          <cell r="T4378">
            <v>0.90186999999999995</v>
          </cell>
          <cell r="U4378">
            <v>0.83252999999999999</v>
          </cell>
          <cell r="V4378">
            <v>0.70567999999999997</v>
          </cell>
          <cell r="W4378">
            <v>0.40390999999999999</v>
          </cell>
          <cell r="Y4378">
            <v>0.99951999999999996</v>
          </cell>
          <cell r="Z4378">
            <v>0.99978999999999996</v>
          </cell>
          <cell r="AA4378">
            <v>0.99973999999999996</v>
          </cell>
          <cell r="AB4378">
            <v>0.99917999999999996</v>
          </cell>
          <cell r="AC4378">
            <v>0.99890999999999996</v>
          </cell>
          <cell r="AD4378">
            <v>0.99873000000000001</v>
          </cell>
          <cell r="AE4378">
            <v>0.99827999999999995</v>
          </cell>
          <cell r="AF4378">
            <v>0.99755000000000005</v>
          </cell>
          <cell r="AG4378">
            <v>0.99643999999999999</v>
          </cell>
          <cell r="AH4378">
            <v>0.99478</v>
          </cell>
          <cell r="AI4378">
            <v>0.99226000000000003</v>
          </cell>
          <cell r="AJ4378">
            <v>0.98953999999999998</v>
          </cell>
          <cell r="AK4378">
            <v>0.98509999999999998</v>
          </cell>
          <cell r="AL4378">
            <v>0.97799000000000003</v>
          </cell>
          <cell r="AM4378">
            <v>0.96277000000000001</v>
          </cell>
          <cell r="AN4378">
            <v>0.92271000000000003</v>
          </cell>
          <cell r="AO4378">
            <v>0.83020000000000005</v>
          </cell>
          <cell r="AP4378">
            <v>0.51798</v>
          </cell>
        </row>
        <row r="4379">
          <cell r="D4379" t="str">
            <v>小千谷市</v>
          </cell>
          <cell r="E4379" t="str">
            <v>2015→2020</v>
          </cell>
          <cell r="F4379">
            <v>0.99922999999999995</v>
          </cell>
          <cell r="G4379">
            <v>0.99951000000000001</v>
          </cell>
          <cell r="H4379">
            <v>0.99890999999999996</v>
          </cell>
          <cell r="I4379">
            <v>0.99744999999999995</v>
          </cell>
          <cell r="J4379">
            <v>0.99673</v>
          </cell>
          <cell r="K4379">
            <v>0.99668999999999996</v>
          </cell>
          <cell r="L4379">
            <v>0.99589000000000005</v>
          </cell>
          <cell r="M4379">
            <v>0.99428000000000005</v>
          </cell>
          <cell r="N4379">
            <v>0.99145000000000005</v>
          </cell>
          <cell r="O4379">
            <v>0.98650000000000004</v>
          </cell>
          <cell r="P4379">
            <v>0.97901000000000005</v>
          </cell>
          <cell r="Q4379">
            <v>0.96877000000000002</v>
          </cell>
          <cell r="R4379">
            <v>0.95555000000000001</v>
          </cell>
          <cell r="S4379">
            <v>0.93064000000000002</v>
          </cell>
          <cell r="T4379">
            <v>0.88834000000000002</v>
          </cell>
          <cell r="U4379">
            <v>0.80242999999999998</v>
          </cell>
          <cell r="V4379">
            <v>0.66198000000000001</v>
          </cell>
          <cell r="W4379">
            <v>0.36981000000000003</v>
          </cell>
          <cell r="Y4379">
            <v>0.99922999999999995</v>
          </cell>
          <cell r="Z4379">
            <v>0.99966999999999995</v>
          </cell>
          <cell r="AA4379">
            <v>0.99968000000000001</v>
          </cell>
          <cell r="AB4379">
            <v>0.99888999999999994</v>
          </cell>
          <cell r="AC4379">
            <v>0.99853999999999998</v>
          </cell>
          <cell r="AD4379">
            <v>0.99836999999999998</v>
          </cell>
          <cell r="AE4379">
            <v>0.99777000000000005</v>
          </cell>
          <cell r="AF4379">
            <v>0.99685999999999997</v>
          </cell>
          <cell r="AG4379">
            <v>0.99548999999999999</v>
          </cell>
          <cell r="AH4379">
            <v>0.99348999999999998</v>
          </cell>
          <cell r="AI4379">
            <v>0.99043000000000003</v>
          </cell>
          <cell r="AJ4379">
            <v>0.98716000000000004</v>
          </cell>
          <cell r="AK4379">
            <v>0.98216999999999999</v>
          </cell>
          <cell r="AL4379">
            <v>0.97255999999999998</v>
          </cell>
          <cell r="AM4379">
            <v>0.95211000000000001</v>
          </cell>
          <cell r="AN4379">
            <v>0.90786999999999995</v>
          </cell>
          <cell r="AO4379">
            <v>0.81396000000000002</v>
          </cell>
          <cell r="AP4379">
            <v>0.49015999999999998</v>
          </cell>
        </row>
        <row r="4380">
          <cell r="D4380" t="str">
            <v>小千谷市</v>
          </cell>
          <cell r="E4380" t="str">
            <v>2020→2025</v>
          </cell>
          <cell r="F4380">
            <v>0.99931999999999999</v>
          </cell>
          <cell r="G4380">
            <v>0.99955000000000005</v>
          </cell>
          <cell r="H4380">
            <v>0.999</v>
          </cell>
          <cell r="I4380">
            <v>0.99761999999999995</v>
          </cell>
          <cell r="J4380">
            <v>0.99687000000000003</v>
          </cell>
          <cell r="K4380">
            <v>0.99683999999999995</v>
          </cell>
          <cell r="L4380">
            <v>0.99612000000000001</v>
          </cell>
          <cell r="M4380">
            <v>0.99460999999999999</v>
          </cell>
          <cell r="N4380">
            <v>0.99194000000000004</v>
          </cell>
          <cell r="O4380">
            <v>0.98726999999999998</v>
          </cell>
          <cell r="P4380">
            <v>0.98016000000000003</v>
          </cell>
          <cell r="Q4380">
            <v>0.97045000000000003</v>
          </cell>
          <cell r="R4380">
            <v>0.95794999999999997</v>
          </cell>
          <cell r="S4380">
            <v>0.93418000000000001</v>
          </cell>
          <cell r="T4380">
            <v>0.89432999999999996</v>
          </cell>
          <cell r="U4380">
            <v>0.81369999999999998</v>
          </cell>
          <cell r="V4380">
            <v>0.67813999999999997</v>
          </cell>
          <cell r="W4380">
            <v>0.38179999999999997</v>
          </cell>
          <cell r="Y4380">
            <v>0.99929999999999997</v>
          </cell>
          <cell r="Z4380">
            <v>0.99970000000000003</v>
          </cell>
          <cell r="AA4380">
            <v>0.99970000000000003</v>
          </cell>
          <cell r="AB4380">
            <v>0.99895999999999996</v>
          </cell>
          <cell r="AC4380">
            <v>0.99861999999999995</v>
          </cell>
          <cell r="AD4380">
            <v>0.99846000000000001</v>
          </cell>
          <cell r="AE4380">
            <v>0.99789000000000005</v>
          </cell>
          <cell r="AF4380">
            <v>0.99702999999999997</v>
          </cell>
          <cell r="AG4380">
            <v>0.99573999999999996</v>
          </cell>
          <cell r="AH4380">
            <v>0.99382999999999999</v>
          </cell>
          <cell r="AI4380">
            <v>0.99090999999999996</v>
          </cell>
          <cell r="AJ4380">
            <v>0.98780999999999997</v>
          </cell>
          <cell r="AK4380">
            <v>0.98321999999999998</v>
          </cell>
          <cell r="AL4380">
            <v>0.97419</v>
          </cell>
          <cell r="AM4380">
            <v>0.95540999999999998</v>
          </cell>
          <cell r="AN4380">
            <v>0.91486999999999996</v>
          </cell>
          <cell r="AO4380">
            <v>0.82694000000000001</v>
          </cell>
          <cell r="AP4380">
            <v>0.50334999999999996</v>
          </cell>
        </row>
        <row r="4381">
          <cell r="D4381" t="str">
            <v>小千谷市</v>
          </cell>
          <cell r="E4381" t="str">
            <v>2025→2030</v>
          </cell>
          <cell r="F4381">
            <v>0.99939</v>
          </cell>
          <cell r="G4381">
            <v>0.99958999999999998</v>
          </cell>
          <cell r="H4381">
            <v>0.99909000000000003</v>
          </cell>
          <cell r="I4381">
            <v>0.99778</v>
          </cell>
          <cell r="J4381">
            <v>0.99700999999999995</v>
          </cell>
          <cell r="K4381">
            <v>0.99697999999999998</v>
          </cell>
          <cell r="L4381">
            <v>0.99633000000000005</v>
          </cell>
          <cell r="M4381">
            <v>0.99492000000000003</v>
          </cell>
          <cell r="N4381">
            <v>0.99238999999999999</v>
          </cell>
          <cell r="O4381">
            <v>0.98797000000000001</v>
          </cell>
          <cell r="P4381">
            <v>0.98119999999999996</v>
          </cell>
          <cell r="Q4381">
            <v>0.97192999999999996</v>
          </cell>
          <cell r="R4381">
            <v>0.96006999999999998</v>
          </cell>
          <cell r="S4381">
            <v>0.93727000000000005</v>
          </cell>
          <cell r="T4381">
            <v>0.89932000000000001</v>
          </cell>
          <cell r="U4381">
            <v>0.82357000000000002</v>
          </cell>
          <cell r="V4381">
            <v>0.69271000000000005</v>
          </cell>
          <cell r="W4381">
            <v>0.39261000000000001</v>
          </cell>
          <cell r="Y4381">
            <v>0.99936999999999998</v>
          </cell>
          <cell r="Z4381">
            <v>0.99973000000000001</v>
          </cell>
          <cell r="AA4381">
            <v>0.99970999999999999</v>
          </cell>
          <cell r="AB4381">
            <v>0.99902000000000002</v>
          </cell>
          <cell r="AC4381">
            <v>0.99870000000000003</v>
          </cell>
          <cell r="AD4381">
            <v>0.99853999999999998</v>
          </cell>
          <cell r="AE4381">
            <v>0.99800999999999995</v>
          </cell>
          <cell r="AF4381">
            <v>0.99717999999999996</v>
          </cell>
          <cell r="AG4381">
            <v>0.99595</v>
          </cell>
          <cell r="AH4381">
            <v>0.99412999999999996</v>
          </cell>
          <cell r="AI4381">
            <v>0.99131999999999998</v>
          </cell>
          <cell r="AJ4381">
            <v>0.98836999999999997</v>
          </cell>
          <cell r="AK4381">
            <v>0.98411000000000004</v>
          </cell>
          <cell r="AL4381">
            <v>0.97557000000000005</v>
          </cell>
          <cell r="AM4381">
            <v>0.95809</v>
          </cell>
          <cell r="AN4381">
            <v>0.92074999999999996</v>
          </cell>
          <cell r="AO4381">
            <v>0.83804999999999996</v>
          </cell>
          <cell r="AP4381">
            <v>0.51507999999999998</v>
          </cell>
        </row>
        <row r="4382">
          <cell r="D4382" t="str">
            <v>小千谷市</v>
          </cell>
          <cell r="E4382" t="str">
            <v>2030→2035</v>
          </cell>
          <cell r="F4382">
            <v>0.99944999999999995</v>
          </cell>
          <cell r="G4382">
            <v>0.99963000000000002</v>
          </cell>
          <cell r="H4382">
            <v>0.99917</v>
          </cell>
          <cell r="I4382">
            <v>0.99792000000000003</v>
          </cell>
          <cell r="J4382">
            <v>0.99714000000000003</v>
          </cell>
          <cell r="K4382">
            <v>0.99711000000000005</v>
          </cell>
          <cell r="L4382">
            <v>0.99651999999999996</v>
          </cell>
          <cell r="M4382">
            <v>0.99519000000000002</v>
          </cell>
          <cell r="N4382">
            <v>0.99278999999999995</v>
          </cell>
          <cell r="O4382">
            <v>0.98858999999999997</v>
          </cell>
          <cell r="P4382">
            <v>0.98211999999999999</v>
          </cell>
          <cell r="Q4382">
            <v>0.97321000000000002</v>
          </cell>
          <cell r="R4382">
            <v>0.96192</v>
          </cell>
          <cell r="S4382">
            <v>0.94</v>
          </cell>
          <cell r="T4382">
            <v>0.90363000000000004</v>
          </cell>
          <cell r="U4382">
            <v>0.83223999999999998</v>
          </cell>
          <cell r="V4382">
            <v>0.70592999999999995</v>
          </cell>
          <cell r="W4382">
            <v>0.40255000000000002</v>
          </cell>
          <cell r="Y4382">
            <v>0.99941999999999998</v>
          </cell>
          <cell r="Z4382">
            <v>0.99975000000000003</v>
          </cell>
          <cell r="AA4382">
            <v>0.99972000000000005</v>
          </cell>
          <cell r="AB4382">
            <v>0.99907999999999997</v>
          </cell>
          <cell r="AC4382">
            <v>0.99878</v>
          </cell>
          <cell r="AD4382">
            <v>0.99861</v>
          </cell>
          <cell r="AE4382">
            <v>0.99811000000000005</v>
          </cell>
          <cell r="AF4382">
            <v>0.99731999999999998</v>
          </cell>
          <cell r="AG4382">
            <v>0.99614000000000003</v>
          </cell>
          <cell r="AH4382">
            <v>0.99438000000000004</v>
          </cell>
          <cell r="AI4382">
            <v>0.99168000000000001</v>
          </cell>
          <cell r="AJ4382">
            <v>0.98882999999999999</v>
          </cell>
          <cell r="AK4382">
            <v>0.98487000000000002</v>
          </cell>
          <cell r="AL4382">
            <v>0.97672000000000003</v>
          </cell>
          <cell r="AM4382">
            <v>0.96028999999999998</v>
          </cell>
          <cell r="AN4382">
            <v>0.92569999999999997</v>
          </cell>
          <cell r="AO4382">
            <v>0.84765000000000001</v>
          </cell>
          <cell r="AP4382">
            <v>0.52566000000000002</v>
          </cell>
        </row>
        <row r="4383">
          <cell r="D4383" t="str">
            <v>小千谷市</v>
          </cell>
          <cell r="E4383" t="str">
            <v>2035→2040</v>
          </cell>
          <cell r="F4383">
            <v>0.99950000000000006</v>
          </cell>
          <cell r="G4383">
            <v>0.99965999999999999</v>
          </cell>
          <cell r="H4383">
            <v>0.99924000000000002</v>
          </cell>
          <cell r="I4383">
            <v>0.99804999999999999</v>
          </cell>
          <cell r="J4383">
            <v>0.99726000000000004</v>
          </cell>
          <cell r="K4383">
            <v>0.99724000000000002</v>
          </cell>
          <cell r="L4383">
            <v>0.99668999999999996</v>
          </cell>
          <cell r="M4383">
            <v>0.99543999999999999</v>
          </cell>
          <cell r="N4383">
            <v>0.99314999999999998</v>
          </cell>
          <cell r="O4383">
            <v>0.98914000000000002</v>
          </cell>
          <cell r="P4383">
            <v>0.98294000000000004</v>
          </cell>
          <cell r="Q4383">
            <v>0.97431999999999996</v>
          </cell>
          <cell r="R4383">
            <v>0.96353999999999995</v>
          </cell>
          <cell r="S4383">
            <v>0.94242999999999999</v>
          </cell>
          <cell r="T4383">
            <v>0.90737999999999996</v>
          </cell>
          <cell r="U4383">
            <v>0.83989000000000003</v>
          </cell>
          <cell r="V4383">
            <v>0.71794999999999998</v>
          </cell>
          <cell r="W4383">
            <v>0.41171999999999997</v>
          </cell>
          <cell r="Y4383">
            <v>0.99946999999999997</v>
          </cell>
          <cell r="Z4383">
            <v>0.99977000000000005</v>
          </cell>
          <cell r="AA4383">
            <v>0.99973000000000001</v>
          </cell>
          <cell r="AB4383">
            <v>0.99912999999999996</v>
          </cell>
          <cell r="AC4383">
            <v>0.99883999999999995</v>
          </cell>
          <cell r="AD4383">
            <v>0.99868000000000001</v>
          </cell>
          <cell r="AE4383">
            <v>0.99819999999999998</v>
          </cell>
          <cell r="AF4383">
            <v>0.99743999999999999</v>
          </cell>
          <cell r="AG4383">
            <v>0.99629999999999996</v>
          </cell>
          <cell r="AH4383">
            <v>0.99460000000000004</v>
          </cell>
          <cell r="AI4383">
            <v>0.99199000000000004</v>
          </cell>
          <cell r="AJ4383">
            <v>0.98921999999999999</v>
          </cell>
          <cell r="AK4383">
            <v>0.98551</v>
          </cell>
          <cell r="AL4383">
            <v>0.97768999999999995</v>
          </cell>
          <cell r="AM4383">
            <v>0.96211999999999998</v>
          </cell>
          <cell r="AN4383">
            <v>0.92988999999999999</v>
          </cell>
          <cell r="AO4383">
            <v>0.85599999999999998</v>
          </cell>
          <cell r="AP4383">
            <v>0.53525</v>
          </cell>
        </row>
        <row r="4384">
          <cell r="D4384" t="str">
            <v>小千谷市</v>
          </cell>
          <cell r="E4384" t="str">
            <v>2040→2045</v>
          </cell>
          <cell r="F4384">
            <v>0.99953999999999998</v>
          </cell>
          <cell r="G4384">
            <v>0.99970000000000003</v>
          </cell>
          <cell r="H4384">
            <v>0.99929999999999997</v>
          </cell>
          <cell r="I4384">
            <v>0.99817</v>
          </cell>
          <cell r="J4384">
            <v>0.99736999999999998</v>
          </cell>
          <cell r="K4384">
            <v>0.99734999999999996</v>
          </cell>
          <cell r="L4384">
            <v>0.99685000000000001</v>
          </cell>
          <cell r="M4384">
            <v>0.99567000000000005</v>
          </cell>
          <cell r="N4384">
            <v>0.99346999999999996</v>
          </cell>
          <cell r="O4384">
            <v>0.98963999999999996</v>
          </cell>
          <cell r="P4384">
            <v>0.98368</v>
          </cell>
          <cell r="Q4384">
            <v>0.97529999999999994</v>
          </cell>
          <cell r="R4384">
            <v>0.96496999999999999</v>
          </cell>
          <cell r="S4384">
            <v>0.94459000000000004</v>
          </cell>
          <cell r="T4384">
            <v>0.91066999999999998</v>
          </cell>
          <cell r="U4384">
            <v>0.84665999999999997</v>
          </cell>
          <cell r="V4384">
            <v>0.72890999999999995</v>
          </cell>
          <cell r="W4384">
            <v>0.42019000000000001</v>
          </cell>
          <cell r="Y4384">
            <v>0.99951999999999996</v>
          </cell>
          <cell r="Z4384">
            <v>0.99978999999999996</v>
          </cell>
          <cell r="AA4384">
            <v>0.99973999999999996</v>
          </cell>
          <cell r="AB4384">
            <v>0.99917999999999996</v>
          </cell>
          <cell r="AC4384">
            <v>0.99890999999999996</v>
          </cell>
          <cell r="AD4384">
            <v>0.99873000000000001</v>
          </cell>
          <cell r="AE4384">
            <v>0.99827999999999995</v>
          </cell>
          <cell r="AF4384">
            <v>0.99755000000000005</v>
          </cell>
          <cell r="AG4384">
            <v>0.99643999999999999</v>
          </cell>
          <cell r="AH4384">
            <v>0.99478</v>
          </cell>
          <cell r="AI4384">
            <v>0.99226000000000003</v>
          </cell>
          <cell r="AJ4384">
            <v>0.98953999999999998</v>
          </cell>
          <cell r="AK4384">
            <v>0.98604000000000003</v>
          </cell>
          <cell r="AL4384">
            <v>0.97851999999999995</v>
          </cell>
          <cell r="AM4384">
            <v>0.96362999999999999</v>
          </cell>
          <cell r="AN4384">
            <v>0.93345</v>
          </cell>
          <cell r="AO4384">
            <v>0.86328000000000005</v>
          </cell>
          <cell r="AP4384">
            <v>0.54396</v>
          </cell>
        </row>
        <row r="4385">
          <cell r="D4385" t="str">
            <v>加茂市</v>
          </cell>
          <cell r="E4385" t="str">
            <v>2015→2020</v>
          </cell>
          <cell r="F4385">
            <v>0.99922999999999995</v>
          </cell>
          <cell r="G4385">
            <v>0.99951000000000001</v>
          </cell>
          <cell r="H4385">
            <v>0.99890999999999996</v>
          </cell>
          <cell r="I4385">
            <v>0.99744999999999995</v>
          </cell>
          <cell r="J4385">
            <v>0.99673</v>
          </cell>
          <cell r="K4385">
            <v>0.99668999999999996</v>
          </cell>
          <cell r="L4385">
            <v>0.99589000000000005</v>
          </cell>
          <cell r="M4385">
            <v>0.99428000000000005</v>
          </cell>
          <cell r="N4385">
            <v>0.99145000000000005</v>
          </cell>
          <cell r="O4385">
            <v>0.98650000000000004</v>
          </cell>
          <cell r="P4385">
            <v>0.97901000000000005</v>
          </cell>
          <cell r="Q4385">
            <v>0.96877000000000002</v>
          </cell>
          <cell r="R4385">
            <v>0.94982</v>
          </cell>
          <cell r="S4385">
            <v>0.92879</v>
          </cell>
          <cell r="T4385">
            <v>0.88385999999999998</v>
          </cell>
          <cell r="U4385">
            <v>0.78110999999999997</v>
          </cell>
          <cell r="V4385">
            <v>0.61287999999999998</v>
          </cell>
          <cell r="W4385">
            <v>0.34455999999999998</v>
          </cell>
          <cell r="Y4385">
            <v>0.99922999999999995</v>
          </cell>
          <cell r="Z4385">
            <v>0.99966999999999995</v>
          </cell>
          <cell r="AA4385">
            <v>0.99968000000000001</v>
          </cell>
          <cell r="AB4385">
            <v>0.99888999999999994</v>
          </cell>
          <cell r="AC4385">
            <v>0.99853999999999998</v>
          </cell>
          <cell r="AD4385">
            <v>0.99836999999999998</v>
          </cell>
          <cell r="AE4385">
            <v>0.99777000000000005</v>
          </cell>
          <cell r="AF4385">
            <v>0.99685999999999997</v>
          </cell>
          <cell r="AG4385">
            <v>0.99548999999999999</v>
          </cell>
          <cell r="AH4385">
            <v>0.99348999999999998</v>
          </cell>
          <cell r="AI4385">
            <v>0.99043000000000003</v>
          </cell>
          <cell r="AJ4385">
            <v>0.98716000000000004</v>
          </cell>
          <cell r="AK4385">
            <v>0.98040000000000005</v>
          </cell>
          <cell r="AL4385">
            <v>0.96779000000000004</v>
          </cell>
          <cell r="AM4385">
            <v>0.94828999999999997</v>
          </cell>
          <cell r="AN4385">
            <v>0.90290999999999999</v>
          </cell>
          <cell r="AO4385">
            <v>0.79437000000000002</v>
          </cell>
          <cell r="AP4385">
            <v>0.47254000000000002</v>
          </cell>
        </row>
        <row r="4386">
          <cell r="D4386" t="str">
            <v>加茂市</v>
          </cell>
          <cell r="E4386" t="str">
            <v>2020→2025</v>
          </cell>
          <cell r="F4386">
            <v>0.99931999999999999</v>
          </cell>
          <cell r="G4386">
            <v>0.99955000000000005</v>
          </cell>
          <cell r="H4386">
            <v>0.999</v>
          </cell>
          <cell r="I4386">
            <v>0.99761999999999995</v>
          </cell>
          <cell r="J4386">
            <v>0.99687000000000003</v>
          </cell>
          <cell r="K4386">
            <v>0.99683999999999995</v>
          </cell>
          <cell r="L4386">
            <v>0.99612000000000001</v>
          </cell>
          <cell r="M4386">
            <v>0.99460999999999999</v>
          </cell>
          <cell r="N4386">
            <v>0.99194000000000004</v>
          </cell>
          <cell r="O4386">
            <v>0.98726999999999998</v>
          </cell>
          <cell r="P4386">
            <v>0.98016000000000003</v>
          </cell>
          <cell r="Q4386">
            <v>0.97045000000000003</v>
          </cell>
          <cell r="R4386">
            <v>0.95220000000000005</v>
          </cell>
          <cell r="S4386">
            <v>0.93232999999999999</v>
          </cell>
          <cell r="T4386">
            <v>0.88982000000000006</v>
          </cell>
          <cell r="U4386">
            <v>0.79208000000000001</v>
          </cell>
          <cell r="V4386">
            <v>0.62783999999999995</v>
          </cell>
          <cell r="W4386">
            <v>0.35572999999999999</v>
          </cell>
          <cell r="Y4386">
            <v>0.99929999999999997</v>
          </cell>
          <cell r="Z4386">
            <v>0.99970000000000003</v>
          </cell>
          <cell r="AA4386">
            <v>0.99970000000000003</v>
          </cell>
          <cell r="AB4386">
            <v>0.99895999999999996</v>
          </cell>
          <cell r="AC4386">
            <v>0.99861999999999995</v>
          </cell>
          <cell r="AD4386">
            <v>0.99846000000000001</v>
          </cell>
          <cell r="AE4386">
            <v>0.99789000000000005</v>
          </cell>
          <cell r="AF4386">
            <v>0.99702999999999997</v>
          </cell>
          <cell r="AG4386">
            <v>0.99573999999999996</v>
          </cell>
          <cell r="AH4386">
            <v>0.99382999999999999</v>
          </cell>
          <cell r="AI4386">
            <v>0.99090999999999996</v>
          </cell>
          <cell r="AJ4386">
            <v>0.98780999999999997</v>
          </cell>
          <cell r="AK4386">
            <v>0.98145000000000004</v>
          </cell>
          <cell r="AL4386">
            <v>0.96941999999999995</v>
          </cell>
          <cell r="AM4386">
            <v>0.95157999999999998</v>
          </cell>
          <cell r="AN4386">
            <v>0.90986999999999996</v>
          </cell>
          <cell r="AO4386">
            <v>0.80703999999999998</v>
          </cell>
          <cell r="AP4386">
            <v>0.48525000000000001</v>
          </cell>
        </row>
        <row r="4387">
          <cell r="D4387" t="str">
            <v>加茂市</v>
          </cell>
          <cell r="E4387" t="str">
            <v>2025→2030</v>
          </cell>
          <cell r="F4387">
            <v>0.99939</v>
          </cell>
          <cell r="G4387">
            <v>0.99958999999999998</v>
          </cell>
          <cell r="H4387">
            <v>0.99909000000000003</v>
          </cell>
          <cell r="I4387">
            <v>0.99778</v>
          </cell>
          <cell r="J4387">
            <v>0.99700999999999995</v>
          </cell>
          <cell r="K4387">
            <v>0.99697999999999998</v>
          </cell>
          <cell r="L4387">
            <v>0.99633000000000005</v>
          </cell>
          <cell r="M4387">
            <v>0.99492000000000003</v>
          </cell>
          <cell r="N4387">
            <v>0.99238999999999999</v>
          </cell>
          <cell r="O4387">
            <v>0.98797000000000001</v>
          </cell>
          <cell r="P4387">
            <v>0.98119999999999996</v>
          </cell>
          <cell r="Q4387">
            <v>0.97192999999999996</v>
          </cell>
          <cell r="R4387">
            <v>0.95430000000000004</v>
          </cell>
          <cell r="S4387">
            <v>0.93540999999999996</v>
          </cell>
          <cell r="T4387">
            <v>0.89478000000000002</v>
          </cell>
          <cell r="U4387">
            <v>0.80169000000000001</v>
          </cell>
          <cell r="V4387">
            <v>0.64132999999999996</v>
          </cell>
          <cell r="W4387">
            <v>0.36580000000000001</v>
          </cell>
          <cell r="Y4387">
            <v>0.99936999999999998</v>
          </cell>
          <cell r="Z4387">
            <v>0.99973000000000001</v>
          </cell>
          <cell r="AA4387">
            <v>0.99970999999999999</v>
          </cell>
          <cell r="AB4387">
            <v>0.99902000000000002</v>
          </cell>
          <cell r="AC4387">
            <v>0.99870000000000003</v>
          </cell>
          <cell r="AD4387">
            <v>0.99853999999999998</v>
          </cell>
          <cell r="AE4387">
            <v>0.99800999999999995</v>
          </cell>
          <cell r="AF4387">
            <v>0.99717999999999996</v>
          </cell>
          <cell r="AG4387">
            <v>0.99595</v>
          </cell>
          <cell r="AH4387">
            <v>0.99412999999999996</v>
          </cell>
          <cell r="AI4387">
            <v>0.99131999999999998</v>
          </cell>
          <cell r="AJ4387">
            <v>0.98836999999999997</v>
          </cell>
          <cell r="AK4387">
            <v>0.98233999999999999</v>
          </cell>
          <cell r="AL4387">
            <v>0.97077999999999998</v>
          </cell>
          <cell r="AM4387">
            <v>0.95425000000000004</v>
          </cell>
          <cell r="AN4387">
            <v>0.91571000000000002</v>
          </cell>
          <cell r="AO4387">
            <v>0.81788000000000005</v>
          </cell>
          <cell r="AP4387">
            <v>0.49656</v>
          </cell>
        </row>
        <row r="4388">
          <cell r="D4388" t="str">
            <v>加茂市</v>
          </cell>
          <cell r="E4388" t="str">
            <v>2030→2035</v>
          </cell>
          <cell r="F4388">
            <v>0.99944999999999995</v>
          </cell>
          <cell r="G4388">
            <v>0.99963000000000002</v>
          </cell>
          <cell r="H4388">
            <v>0.99917</v>
          </cell>
          <cell r="I4388">
            <v>0.99792000000000003</v>
          </cell>
          <cell r="J4388">
            <v>0.99714000000000003</v>
          </cell>
          <cell r="K4388">
            <v>0.99711000000000005</v>
          </cell>
          <cell r="L4388">
            <v>0.99651999999999996</v>
          </cell>
          <cell r="M4388">
            <v>0.99519000000000002</v>
          </cell>
          <cell r="N4388">
            <v>0.99278999999999995</v>
          </cell>
          <cell r="O4388">
            <v>0.98858999999999997</v>
          </cell>
          <cell r="P4388">
            <v>0.98211999999999999</v>
          </cell>
          <cell r="Q4388">
            <v>0.97321000000000002</v>
          </cell>
          <cell r="R4388">
            <v>0.95613999999999999</v>
          </cell>
          <cell r="S4388">
            <v>0.93813000000000002</v>
          </cell>
          <cell r="T4388">
            <v>0.89907000000000004</v>
          </cell>
          <cell r="U4388">
            <v>0.81013000000000002</v>
          </cell>
          <cell r="V4388">
            <v>0.65356999999999998</v>
          </cell>
          <cell r="W4388">
            <v>0.37507000000000001</v>
          </cell>
          <cell r="Y4388">
            <v>0.99941999999999998</v>
          </cell>
          <cell r="Z4388">
            <v>0.99975000000000003</v>
          </cell>
          <cell r="AA4388">
            <v>0.99972000000000005</v>
          </cell>
          <cell r="AB4388">
            <v>0.99907999999999997</v>
          </cell>
          <cell r="AC4388">
            <v>0.99878</v>
          </cell>
          <cell r="AD4388">
            <v>0.99861</v>
          </cell>
          <cell r="AE4388">
            <v>0.99811000000000005</v>
          </cell>
          <cell r="AF4388">
            <v>0.99731999999999998</v>
          </cell>
          <cell r="AG4388">
            <v>0.99614000000000003</v>
          </cell>
          <cell r="AH4388">
            <v>0.99438000000000004</v>
          </cell>
          <cell r="AI4388">
            <v>0.99168000000000001</v>
          </cell>
          <cell r="AJ4388">
            <v>0.98882999999999999</v>
          </cell>
          <cell r="AK4388">
            <v>0.98309000000000002</v>
          </cell>
          <cell r="AL4388">
            <v>0.97192999999999996</v>
          </cell>
          <cell r="AM4388">
            <v>0.95643999999999996</v>
          </cell>
          <cell r="AN4388">
            <v>0.92064999999999997</v>
          </cell>
          <cell r="AO4388">
            <v>0.82725000000000004</v>
          </cell>
          <cell r="AP4388">
            <v>0.50677000000000005</v>
          </cell>
        </row>
        <row r="4389">
          <cell r="D4389" t="str">
            <v>加茂市</v>
          </cell>
          <cell r="E4389" t="str">
            <v>2035→2040</v>
          </cell>
          <cell r="F4389">
            <v>0.99950000000000006</v>
          </cell>
          <cell r="G4389">
            <v>0.99965999999999999</v>
          </cell>
          <cell r="H4389">
            <v>0.99924000000000002</v>
          </cell>
          <cell r="I4389">
            <v>0.99804999999999999</v>
          </cell>
          <cell r="J4389">
            <v>0.99726000000000004</v>
          </cell>
          <cell r="K4389">
            <v>0.99724000000000002</v>
          </cell>
          <cell r="L4389">
            <v>0.99668999999999996</v>
          </cell>
          <cell r="M4389">
            <v>0.99543999999999999</v>
          </cell>
          <cell r="N4389">
            <v>0.99314999999999998</v>
          </cell>
          <cell r="O4389">
            <v>0.98914000000000002</v>
          </cell>
          <cell r="P4389">
            <v>0.98294000000000004</v>
          </cell>
          <cell r="Q4389">
            <v>0.97431999999999996</v>
          </cell>
          <cell r="R4389">
            <v>0.95775999999999994</v>
          </cell>
          <cell r="S4389">
            <v>0.94055999999999995</v>
          </cell>
          <cell r="T4389">
            <v>0.90280000000000005</v>
          </cell>
          <cell r="U4389">
            <v>0.81757999999999997</v>
          </cell>
          <cell r="V4389">
            <v>0.66469999999999996</v>
          </cell>
          <cell r="W4389">
            <v>0.38361000000000001</v>
          </cell>
          <cell r="Y4389">
            <v>0.99946999999999997</v>
          </cell>
          <cell r="Z4389">
            <v>0.99977000000000005</v>
          </cell>
          <cell r="AA4389">
            <v>0.99973000000000001</v>
          </cell>
          <cell r="AB4389">
            <v>0.99912999999999996</v>
          </cell>
          <cell r="AC4389">
            <v>0.99883999999999995</v>
          </cell>
          <cell r="AD4389">
            <v>0.99868000000000001</v>
          </cell>
          <cell r="AE4389">
            <v>0.99819999999999998</v>
          </cell>
          <cell r="AF4389">
            <v>0.99743999999999999</v>
          </cell>
          <cell r="AG4389">
            <v>0.99629999999999996</v>
          </cell>
          <cell r="AH4389">
            <v>0.99460000000000004</v>
          </cell>
          <cell r="AI4389">
            <v>0.99199000000000004</v>
          </cell>
          <cell r="AJ4389">
            <v>0.98921999999999999</v>
          </cell>
          <cell r="AK4389">
            <v>0.98372999999999999</v>
          </cell>
          <cell r="AL4389">
            <v>0.97289000000000003</v>
          </cell>
          <cell r="AM4389">
            <v>0.95826999999999996</v>
          </cell>
          <cell r="AN4389">
            <v>0.92481000000000002</v>
          </cell>
          <cell r="AO4389">
            <v>0.83540000000000003</v>
          </cell>
          <cell r="AP4389">
            <v>0.51600999999999997</v>
          </cell>
        </row>
        <row r="4390">
          <cell r="D4390" t="str">
            <v>加茂市</v>
          </cell>
          <cell r="E4390" t="str">
            <v>2040→2045</v>
          </cell>
          <cell r="F4390">
            <v>0.99953999999999998</v>
          </cell>
          <cell r="G4390">
            <v>0.99970000000000003</v>
          </cell>
          <cell r="H4390">
            <v>0.99929999999999997</v>
          </cell>
          <cell r="I4390">
            <v>0.99817</v>
          </cell>
          <cell r="J4390">
            <v>0.99736999999999998</v>
          </cell>
          <cell r="K4390">
            <v>0.99734999999999996</v>
          </cell>
          <cell r="L4390">
            <v>0.99685000000000001</v>
          </cell>
          <cell r="M4390">
            <v>0.99567000000000005</v>
          </cell>
          <cell r="N4390">
            <v>0.99346999999999996</v>
          </cell>
          <cell r="O4390">
            <v>0.98963999999999996</v>
          </cell>
          <cell r="P4390">
            <v>0.98368</v>
          </cell>
          <cell r="Q4390">
            <v>0.97529999999999994</v>
          </cell>
          <cell r="R4390">
            <v>0.95916999999999997</v>
          </cell>
          <cell r="S4390">
            <v>0.94271000000000005</v>
          </cell>
          <cell r="T4390">
            <v>0.90607000000000004</v>
          </cell>
          <cell r="U4390">
            <v>0.82416999999999996</v>
          </cell>
          <cell r="V4390">
            <v>0.67484999999999995</v>
          </cell>
          <cell r="W4390">
            <v>0.39150000000000001</v>
          </cell>
          <cell r="Y4390">
            <v>0.99951999999999996</v>
          </cell>
          <cell r="Z4390">
            <v>0.99978999999999996</v>
          </cell>
          <cell r="AA4390">
            <v>0.99973999999999996</v>
          </cell>
          <cell r="AB4390">
            <v>0.99917999999999996</v>
          </cell>
          <cell r="AC4390">
            <v>0.99890999999999996</v>
          </cell>
          <cell r="AD4390">
            <v>0.99873000000000001</v>
          </cell>
          <cell r="AE4390">
            <v>0.99827999999999995</v>
          </cell>
          <cell r="AF4390">
            <v>0.99755000000000005</v>
          </cell>
          <cell r="AG4390">
            <v>0.99643999999999999</v>
          </cell>
          <cell r="AH4390">
            <v>0.99478</v>
          </cell>
          <cell r="AI4390">
            <v>0.99226000000000003</v>
          </cell>
          <cell r="AJ4390">
            <v>0.98953999999999998</v>
          </cell>
          <cell r="AK4390">
            <v>0.98426000000000002</v>
          </cell>
          <cell r="AL4390">
            <v>0.97372000000000003</v>
          </cell>
          <cell r="AM4390">
            <v>0.95977000000000001</v>
          </cell>
          <cell r="AN4390">
            <v>0.92835000000000001</v>
          </cell>
          <cell r="AO4390">
            <v>0.84250000000000003</v>
          </cell>
          <cell r="AP4390">
            <v>0.52439999999999998</v>
          </cell>
        </row>
        <row r="4391">
          <cell r="D4391" t="str">
            <v>十日町市</v>
          </cell>
          <cell r="E4391" t="str">
            <v>2015→2020</v>
          </cell>
          <cell r="F4391">
            <v>0.99922999999999995</v>
          </cell>
          <cell r="G4391">
            <v>0.99951000000000001</v>
          </cell>
          <cell r="H4391">
            <v>0.99890999999999996</v>
          </cell>
          <cell r="I4391">
            <v>0.99744999999999995</v>
          </cell>
          <cell r="J4391">
            <v>0.99673</v>
          </cell>
          <cell r="K4391">
            <v>0.99668999999999996</v>
          </cell>
          <cell r="L4391">
            <v>0.99589000000000005</v>
          </cell>
          <cell r="M4391">
            <v>0.99428000000000005</v>
          </cell>
          <cell r="N4391">
            <v>0.99145000000000005</v>
          </cell>
          <cell r="O4391">
            <v>0.98650000000000004</v>
          </cell>
          <cell r="P4391">
            <v>0.97901000000000005</v>
          </cell>
          <cell r="Q4391">
            <v>0.96877000000000002</v>
          </cell>
          <cell r="R4391">
            <v>0.95430999999999999</v>
          </cell>
          <cell r="S4391">
            <v>0.92864999999999998</v>
          </cell>
          <cell r="T4391">
            <v>0.88571</v>
          </cell>
          <cell r="U4391">
            <v>0.80166999999999999</v>
          </cell>
          <cell r="V4391">
            <v>0.67432999999999998</v>
          </cell>
          <cell r="W4391">
            <v>0.39043</v>
          </cell>
          <cell r="Y4391">
            <v>0.99922999999999995</v>
          </cell>
          <cell r="Z4391">
            <v>0.99966999999999995</v>
          </cell>
          <cell r="AA4391">
            <v>0.99968000000000001</v>
          </cell>
          <cell r="AB4391">
            <v>0.99888999999999994</v>
          </cell>
          <cell r="AC4391">
            <v>0.99853999999999998</v>
          </cell>
          <cell r="AD4391">
            <v>0.99836999999999998</v>
          </cell>
          <cell r="AE4391">
            <v>0.99777000000000005</v>
          </cell>
          <cell r="AF4391">
            <v>0.99685999999999997</v>
          </cell>
          <cell r="AG4391">
            <v>0.99548999999999999</v>
          </cell>
          <cell r="AH4391">
            <v>0.99348999999999998</v>
          </cell>
          <cell r="AI4391">
            <v>0.99043000000000003</v>
          </cell>
          <cell r="AJ4391">
            <v>0.98716000000000004</v>
          </cell>
          <cell r="AK4391">
            <v>0.98207999999999995</v>
          </cell>
          <cell r="AL4391">
            <v>0.97165000000000001</v>
          </cell>
          <cell r="AM4391">
            <v>0.95377000000000001</v>
          </cell>
          <cell r="AN4391">
            <v>0.90842999999999996</v>
          </cell>
          <cell r="AO4391">
            <v>0.81974999999999998</v>
          </cell>
          <cell r="AP4391">
            <v>0.49580999999999997</v>
          </cell>
        </row>
        <row r="4392">
          <cell r="D4392" t="str">
            <v>十日町市</v>
          </cell>
          <cell r="E4392" t="str">
            <v>2020→2025</v>
          </cell>
          <cell r="F4392">
            <v>0.99931999999999999</v>
          </cell>
          <cell r="G4392">
            <v>0.99955000000000005</v>
          </cell>
          <cell r="H4392">
            <v>0.999</v>
          </cell>
          <cell r="I4392">
            <v>0.99761999999999995</v>
          </cell>
          <cell r="J4392">
            <v>0.99687000000000003</v>
          </cell>
          <cell r="K4392">
            <v>0.99683999999999995</v>
          </cell>
          <cell r="L4392">
            <v>0.99612000000000001</v>
          </cell>
          <cell r="M4392">
            <v>0.99460999999999999</v>
          </cell>
          <cell r="N4392">
            <v>0.99194000000000004</v>
          </cell>
          <cell r="O4392">
            <v>0.98726999999999998</v>
          </cell>
          <cell r="P4392">
            <v>0.98016000000000003</v>
          </cell>
          <cell r="Q4392">
            <v>0.97045000000000003</v>
          </cell>
          <cell r="R4392">
            <v>0.95669999999999999</v>
          </cell>
          <cell r="S4392">
            <v>0.93218999999999996</v>
          </cell>
          <cell r="T4392">
            <v>0.89168000000000003</v>
          </cell>
          <cell r="U4392">
            <v>0.81293000000000004</v>
          </cell>
          <cell r="V4392">
            <v>0.69077999999999995</v>
          </cell>
          <cell r="W4392">
            <v>0.40309</v>
          </cell>
          <cell r="Y4392">
            <v>0.99929999999999997</v>
          </cell>
          <cell r="Z4392">
            <v>0.99970000000000003</v>
          </cell>
          <cell r="AA4392">
            <v>0.99970000000000003</v>
          </cell>
          <cell r="AB4392">
            <v>0.99895999999999996</v>
          </cell>
          <cell r="AC4392">
            <v>0.99861999999999995</v>
          </cell>
          <cell r="AD4392">
            <v>0.99846000000000001</v>
          </cell>
          <cell r="AE4392">
            <v>0.99789000000000005</v>
          </cell>
          <cell r="AF4392">
            <v>0.99702999999999997</v>
          </cell>
          <cell r="AG4392">
            <v>0.99573999999999996</v>
          </cell>
          <cell r="AH4392">
            <v>0.99382999999999999</v>
          </cell>
          <cell r="AI4392">
            <v>0.99090999999999996</v>
          </cell>
          <cell r="AJ4392">
            <v>0.98780999999999997</v>
          </cell>
          <cell r="AK4392">
            <v>0.98312999999999995</v>
          </cell>
          <cell r="AL4392">
            <v>0.97328999999999999</v>
          </cell>
          <cell r="AM4392">
            <v>0.95708000000000004</v>
          </cell>
          <cell r="AN4392">
            <v>0.91542000000000001</v>
          </cell>
          <cell r="AO4392">
            <v>0.83282</v>
          </cell>
          <cell r="AP4392">
            <v>0.50914999999999999</v>
          </cell>
        </row>
        <row r="4393">
          <cell r="D4393" t="str">
            <v>十日町市</v>
          </cell>
          <cell r="E4393" t="str">
            <v>2025→2030</v>
          </cell>
          <cell r="F4393">
            <v>0.99939</v>
          </cell>
          <cell r="G4393">
            <v>0.99958999999999998</v>
          </cell>
          <cell r="H4393">
            <v>0.99909000000000003</v>
          </cell>
          <cell r="I4393">
            <v>0.99778</v>
          </cell>
          <cell r="J4393">
            <v>0.99700999999999995</v>
          </cell>
          <cell r="K4393">
            <v>0.99697999999999998</v>
          </cell>
          <cell r="L4393">
            <v>0.99633000000000005</v>
          </cell>
          <cell r="M4393">
            <v>0.99492000000000003</v>
          </cell>
          <cell r="N4393">
            <v>0.99238999999999999</v>
          </cell>
          <cell r="O4393">
            <v>0.98797000000000001</v>
          </cell>
          <cell r="P4393">
            <v>0.98119999999999996</v>
          </cell>
          <cell r="Q4393">
            <v>0.97192999999999996</v>
          </cell>
          <cell r="R4393">
            <v>0.95882000000000001</v>
          </cell>
          <cell r="S4393">
            <v>0.93527000000000005</v>
          </cell>
          <cell r="T4393">
            <v>0.89666000000000001</v>
          </cell>
          <cell r="U4393">
            <v>0.82279999999999998</v>
          </cell>
          <cell r="V4393">
            <v>0.70562999999999998</v>
          </cell>
          <cell r="W4393">
            <v>0.41449999999999998</v>
          </cell>
          <cell r="Y4393">
            <v>0.99936999999999998</v>
          </cell>
          <cell r="Z4393">
            <v>0.99973000000000001</v>
          </cell>
          <cell r="AA4393">
            <v>0.99970999999999999</v>
          </cell>
          <cell r="AB4393">
            <v>0.99902000000000002</v>
          </cell>
          <cell r="AC4393">
            <v>0.99870000000000003</v>
          </cell>
          <cell r="AD4393">
            <v>0.99853999999999998</v>
          </cell>
          <cell r="AE4393">
            <v>0.99800999999999995</v>
          </cell>
          <cell r="AF4393">
            <v>0.99717999999999996</v>
          </cell>
          <cell r="AG4393">
            <v>0.99595</v>
          </cell>
          <cell r="AH4393">
            <v>0.99412999999999996</v>
          </cell>
          <cell r="AI4393">
            <v>0.99131999999999998</v>
          </cell>
          <cell r="AJ4393">
            <v>0.98836999999999997</v>
          </cell>
          <cell r="AK4393">
            <v>0.98402000000000001</v>
          </cell>
          <cell r="AL4393">
            <v>0.97465999999999997</v>
          </cell>
          <cell r="AM4393">
            <v>0.95975999999999995</v>
          </cell>
          <cell r="AN4393">
            <v>0.92130999999999996</v>
          </cell>
          <cell r="AO4393">
            <v>0.84399999999999997</v>
          </cell>
          <cell r="AP4393">
            <v>0.52100999999999997</v>
          </cell>
        </row>
        <row r="4394">
          <cell r="D4394" t="str">
            <v>十日町市</v>
          </cell>
          <cell r="E4394" t="str">
            <v>2030→2035</v>
          </cell>
          <cell r="F4394">
            <v>0.99944999999999995</v>
          </cell>
          <cell r="G4394">
            <v>0.99963000000000002</v>
          </cell>
          <cell r="H4394">
            <v>0.99917</v>
          </cell>
          <cell r="I4394">
            <v>0.99792000000000003</v>
          </cell>
          <cell r="J4394">
            <v>0.99714000000000003</v>
          </cell>
          <cell r="K4394">
            <v>0.99711000000000005</v>
          </cell>
          <cell r="L4394">
            <v>0.99651999999999996</v>
          </cell>
          <cell r="M4394">
            <v>0.99519000000000002</v>
          </cell>
          <cell r="N4394">
            <v>0.99278999999999995</v>
          </cell>
          <cell r="O4394">
            <v>0.98858999999999997</v>
          </cell>
          <cell r="P4394">
            <v>0.98211999999999999</v>
          </cell>
          <cell r="Q4394">
            <v>0.97321000000000002</v>
          </cell>
          <cell r="R4394">
            <v>0.96065999999999996</v>
          </cell>
          <cell r="S4394">
            <v>0.93798999999999999</v>
          </cell>
          <cell r="T4394">
            <v>0.90095000000000003</v>
          </cell>
          <cell r="U4394">
            <v>0.83145999999999998</v>
          </cell>
          <cell r="V4394">
            <v>0.71909000000000001</v>
          </cell>
          <cell r="W4394">
            <v>0.42499999999999999</v>
          </cell>
          <cell r="Y4394">
            <v>0.99941999999999998</v>
          </cell>
          <cell r="Z4394">
            <v>0.99975000000000003</v>
          </cell>
          <cell r="AA4394">
            <v>0.99972000000000005</v>
          </cell>
          <cell r="AB4394">
            <v>0.99907999999999997</v>
          </cell>
          <cell r="AC4394">
            <v>0.99878</v>
          </cell>
          <cell r="AD4394">
            <v>0.99861</v>
          </cell>
          <cell r="AE4394">
            <v>0.99811000000000005</v>
          </cell>
          <cell r="AF4394">
            <v>0.99731999999999998</v>
          </cell>
          <cell r="AG4394">
            <v>0.99614000000000003</v>
          </cell>
          <cell r="AH4394">
            <v>0.99438000000000004</v>
          </cell>
          <cell r="AI4394">
            <v>0.99168000000000001</v>
          </cell>
          <cell r="AJ4394">
            <v>0.98882999999999999</v>
          </cell>
          <cell r="AK4394">
            <v>0.98477999999999999</v>
          </cell>
          <cell r="AL4394">
            <v>0.97580999999999996</v>
          </cell>
          <cell r="AM4394">
            <v>0.96196999999999999</v>
          </cell>
          <cell r="AN4394">
            <v>0.92627000000000004</v>
          </cell>
          <cell r="AO4394">
            <v>0.85367999999999999</v>
          </cell>
          <cell r="AP4394">
            <v>0.53171999999999997</v>
          </cell>
        </row>
        <row r="4395">
          <cell r="D4395" t="str">
            <v>十日町市</v>
          </cell>
          <cell r="E4395" t="str">
            <v>2035→2040</v>
          </cell>
          <cell r="F4395">
            <v>0.99950000000000006</v>
          </cell>
          <cell r="G4395">
            <v>0.99965999999999999</v>
          </cell>
          <cell r="H4395">
            <v>0.99924000000000002</v>
          </cell>
          <cell r="I4395">
            <v>0.99804999999999999</v>
          </cell>
          <cell r="J4395">
            <v>0.99726000000000004</v>
          </cell>
          <cell r="K4395">
            <v>0.99724000000000002</v>
          </cell>
          <cell r="L4395">
            <v>0.99668999999999996</v>
          </cell>
          <cell r="M4395">
            <v>0.99543999999999999</v>
          </cell>
          <cell r="N4395">
            <v>0.99314999999999998</v>
          </cell>
          <cell r="O4395">
            <v>0.98914000000000002</v>
          </cell>
          <cell r="P4395">
            <v>0.98294000000000004</v>
          </cell>
          <cell r="Q4395">
            <v>0.97431999999999996</v>
          </cell>
          <cell r="R4395">
            <v>0.96228000000000002</v>
          </cell>
          <cell r="S4395">
            <v>0.94040999999999997</v>
          </cell>
          <cell r="T4395">
            <v>0.90468000000000004</v>
          </cell>
          <cell r="U4395">
            <v>0.83909999999999996</v>
          </cell>
          <cell r="V4395">
            <v>0.73133000000000004</v>
          </cell>
          <cell r="W4395">
            <v>0.43468000000000001</v>
          </cell>
          <cell r="Y4395">
            <v>0.99946999999999997</v>
          </cell>
          <cell r="Z4395">
            <v>0.99977000000000005</v>
          </cell>
          <cell r="AA4395">
            <v>0.99973000000000001</v>
          </cell>
          <cell r="AB4395">
            <v>0.99912999999999996</v>
          </cell>
          <cell r="AC4395">
            <v>0.99883999999999995</v>
          </cell>
          <cell r="AD4395">
            <v>0.99868000000000001</v>
          </cell>
          <cell r="AE4395">
            <v>0.99819999999999998</v>
          </cell>
          <cell r="AF4395">
            <v>0.99743999999999999</v>
          </cell>
          <cell r="AG4395">
            <v>0.99629999999999996</v>
          </cell>
          <cell r="AH4395">
            <v>0.99460000000000004</v>
          </cell>
          <cell r="AI4395">
            <v>0.99199000000000004</v>
          </cell>
          <cell r="AJ4395">
            <v>0.98921999999999999</v>
          </cell>
          <cell r="AK4395">
            <v>0.98541999999999996</v>
          </cell>
          <cell r="AL4395">
            <v>0.97677999999999998</v>
          </cell>
          <cell r="AM4395">
            <v>0.96379999999999999</v>
          </cell>
          <cell r="AN4395">
            <v>0.93045999999999995</v>
          </cell>
          <cell r="AO4395">
            <v>0.86207999999999996</v>
          </cell>
          <cell r="AP4395">
            <v>0.54142000000000001</v>
          </cell>
        </row>
        <row r="4396">
          <cell r="D4396" t="str">
            <v>十日町市</v>
          </cell>
          <cell r="E4396" t="str">
            <v>2040→2045</v>
          </cell>
          <cell r="F4396">
            <v>0.99953999999999998</v>
          </cell>
          <cell r="G4396">
            <v>0.99970000000000003</v>
          </cell>
          <cell r="H4396">
            <v>0.99929999999999997</v>
          </cell>
          <cell r="I4396">
            <v>0.99817</v>
          </cell>
          <cell r="J4396">
            <v>0.99736999999999998</v>
          </cell>
          <cell r="K4396">
            <v>0.99734999999999996</v>
          </cell>
          <cell r="L4396">
            <v>0.99685000000000001</v>
          </cell>
          <cell r="M4396">
            <v>0.99567000000000005</v>
          </cell>
          <cell r="N4396">
            <v>0.99346999999999996</v>
          </cell>
          <cell r="O4396">
            <v>0.98963999999999996</v>
          </cell>
          <cell r="P4396">
            <v>0.98368</v>
          </cell>
          <cell r="Q4396">
            <v>0.97529999999999994</v>
          </cell>
          <cell r="R4396">
            <v>0.96370999999999996</v>
          </cell>
          <cell r="S4396">
            <v>0.94257000000000002</v>
          </cell>
          <cell r="T4396">
            <v>0.90797000000000005</v>
          </cell>
          <cell r="U4396">
            <v>0.84587000000000001</v>
          </cell>
          <cell r="V4396">
            <v>0.74250000000000005</v>
          </cell>
          <cell r="W4396">
            <v>0.44363000000000002</v>
          </cell>
          <cell r="Y4396">
            <v>0.99951999999999996</v>
          </cell>
          <cell r="Z4396">
            <v>0.99978999999999996</v>
          </cell>
          <cell r="AA4396">
            <v>0.99973999999999996</v>
          </cell>
          <cell r="AB4396">
            <v>0.99917999999999996</v>
          </cell>
          <cell r="AC4396">
            <v>0.99890999999999996</v>
          </cell>
          <cell r="AD4396">
            <v>0.99873000000000001</v>
          </cell>
          <cell r="AE4396">
            <v>0.99827999999999995</v>
          </cell>
          <cell r="AF4396">
            <v>0.99755000000000005</v>
          </cell>
          <cell r="AG4396">
            <v>0.99643999999999999</v>
          </cell>
          <cell r="AH4396">
            <v>0.99478</v>
          </cell>
          <cell r="AI4396">
            <v>0.99226000000000003</v>
          </cell>
          <cell r="AJ4396">
            <v>0.98953999999999998</v>
          </cell>
          <cell r="AK4396">
            <v>0.98594999999999999</v>
          </cell>
          <cell r="AL4396">
            <v>0.97760000000000002</v>
          </cell>
          <cell r="AM4396">
            <v>0.96531999999999996</v>
          </cell>
          <cell r="AN4396">
            <v>0.93401999999999996</v>
          </cell>
          <cell r="AO4396">
            <v>0.86941999999999997</v>
          </cell>
          <cell r="AP4396">
            <v>0.55022000000000004</v>
          </cell>
        </row>
        <row r="4397">
          <cell r="D4397" t="str">
            <v>見附市</v>
          </cell>
          <cell r="E4397" t="str">
            <v>2015→2020</v>
          </cell>
          <cell r="F4397">
            <v>0.99922999999999995</v>
          </cell>
          <cell r="G4397">
            <v>0.99951000000000001</v>
          </cell>
          <cell r="H4397">
            <v>0.99890999999999996</v>
          </cell>
          <cell r="I4397">
            <v>0.99744999999999995</v>
          </cell>
          <cell r="J4397">
            <v>0.99673</v>
          </cell>
          <cell r="K4397">
            <v>0.99668999999999996</v>
          </cell>
          <cell r="L4397">
            <v>0.99589000000000005</v>
          </cell>
          <cell r="M4397">
            <v>0.99428000000000005</v>
          </cell>
          <cell r="N4397">
            <v>0.99145000000000005</v>
          </cell>
          <cell r="O4397">
            <v>0.98650000000000004</v>
          </cell>
          <cell r="P4397">
            <v>0.97901000000000005</v>
          </cell>
          <cell r="Q4397">
            <v>0.96877000000000002</v>
          </cell>
          <cell r="R4397">
            <v>0.95279000000000003</v>
          </cell>
          <cell r="S4397">
            <v>0.92191000000000001</v>
          </cell>
          <cell r="T4397">
            <v>0.87966</v>
          </cell>
          <cell r="U4397">
            <v>0.79749000000000003</v>
          </cell>
          <cell r="V4397">
            <v>0.64583000000000002</v>
          </cell>
          <cell r="W4397">
            <v>0.37408999999999998</v>
          </cell>
          <cell r="Y4397">
            <v>0.99922999999999995</v>
          </cell>
          <cell r="Z4397">
            <v>0.99966999999999995</v>
          </cell>
          <cell r="AA4397">
            <v>0.99968000000000001</v>
          </cell>
          <cell r="AB4397">
            <v>0.99888999999999994</v>
          </cell>
          <cell r="AC4397">
            <v>0.99853999999999998</v>
          </cell>
          <cell r="AD4397">
            <v>0.99836999999999998</v>
          </cell>
          <cell r="AE4397">
            <v>0.99777000000000005</v>
          </cell>
          <cell r="AF4397">
            <v>0.99685999999999997</v>
          </cell>
          <cell r="AG4397">
            <v>0.99548999999999999</v>
          </cell>
          <cell r="AH4397">
            <v>0.99348999999999998</v>
          </cell>
          <cell r="AI4397">
            <v>0.99043000000000003</v>
          </cell>
          <cell r="AJ4397">
            <v>0.98716000000000004</v>
          </cell>
          <cell r="AK4397">
            <v>0.97997000000000001</v>
          </cell>
          <cell r="AL4397">
            <v>0.96736999999999995</v>
          </cell>
          <cell r="AM4397">
            <v>0.94530999999999998</v>
          </cell>
          <cell r="AN4397">
            <v>0.89631000000000005</v>
          </cell>
          <cell r="AO4397">
            <v>0.78954999999999997</v>
          </cell>
          <cell r="AP4397">
            <v>0.46734999999999999</v>
          </cell>
        </row>
        <row r="4398">
          <cell r="D4398" t="str">
            <v>見附市</v>
          </cell>
          <cell r="E4398" t="str">
            <v>2020→2025</v>
          </cell>
          <cell r="F4398">
            <v>0.99931999999999999</v>
          </cell>
          <cell r="G4398">
            <v>0.99955000000000005</v>
          </cell>
          <cell r="H4398">
            <v>0.999</v>
          </cell>
          <cell r="I4398">
            <v>0.99761999999999995</v>
          </cell>
          <cell r="J4398">
            <v>0.99687000000000003</v>
          </cell>
          <cell r="K4398">
            <v>0.99683999999999995</v>
          </cell>
          <cell r="L4398">
            <v>0.99612000000000001</v>
          </cell>
          <cell r="M4398">
            <v>0.99460999999999999</v>
          </cell>
          <cell r="N4398">
            <v>0.99194000000000004</v>
          </cell>
          <cell r="O4398">
            <v>0.98726999999999998</v>
          </cell>
          <cell r="P4398">
            <v>0.98016000000000003</v>
          </cell>
          <cell r="Q4398">
            <v>0.97045000000000003</v>
          </cell>
          <cell r="R4398">
            <v>0.95518000000000003</v>
          </cell>
          <cell r="S4398">
            <v>0.92542000000000002</v>
          </cell>
          <cell r="T4398">
            <v>0.88558999999999999</v>
          </cell>
          <cell r="U4398">
            <v>0.80869000000000002</v>
          </cell>
          <cell r="V4398">
            <v>0.66159000000000001</v>
          </cell>
          <cell r="W4398">
            <v>0.38622000000000001</v>
          </cell>
          <cell r="Y4398">
            <v>0.99929999999999997</v>
          </cell>
          <cell r="Z4398">
            <v>0.99970000000000003</v>
          </cell>
          <cell r="AA4398">
            <v>0.99970000000000003</v>
          </cell>
          <cell r="AB4398">
            <v>0.99895999999999996</v>
          </cell>
          <cell r="AC4398">
            <v>0.99861999999999995</v>
          </cell>
          <cell r="AD4398">
            <v>0.99846000000000001</v>
          </cell>
          <cell r="AE4398">
            <v>0.99789000000000005</v>
          </cell>
          <cell r="AF4398">
            <v>0.99702999999999997</v>
          </cell>
          <cell r="AG4398">
            <v>0.99573999999999996</v>
          </cell>
          <cell r="AH4398">
            <v>0.99382999999999999</v>
          </cell>
          <cell r="AI4398">
            <v>0.99090999999999996</v>
          </cell>
          <cell r="AJ4398">
            <v>0.98780999999999997</v>
          </cell>
          <cell r="AK4398">
            <v>0.98102</v>
          </cell>
          <cell r="AL4398">
            <v>0.96899999999999997</v>
          </cell>
          <cell r="AM4398">
            <v>0.94859000000000004</v>
          </cell>
          <cell r="AN4398">
            <v>0.90320999999999996</v>
          </cell>
          <cell r="AO4398">
            <v>0.80213999999999996</v>
          </cell>
          <cell r="AP4398">
            <v>0.47993000000000002</v>
          </cell>
        </row>
        <row r="4399">
          <cell r="D4399" t="str">
            <v>見附市</v>
          </cell>
          <cell r="E4399" t="str">
            <v>2025→2030</v>
          </cell>
          <cell r="F4399">
            <v>0.99939</v>
          </cell>
          <cell r="G4399">
            <v>0.99958999999999998</v>
          </cell>
          <cell r="H4399">
            <v>0.99909000000000003</v>
          </cell>
          <cell r="I4399">
            <v>0.99778</v>
          </cell>
          <cell r="J4399">
            <v>0.99700999999999995</v>
          </cell>
          <cell r="K4399">
            <v>0.99697999999999998</v>
          </cell>
          <cell r="L4399">
            <v>0.99633000000000005</v>
          </cell>
          <cell r="M4399">
            <v>0.99492000000000003</v>
          </cell>
          <cell r="N4399">
            <v>0.99238999999999999</v>
          </cell>
          <cell r="O4399">
            <v>0.98797000000000001</v>
          </cell>
          <cell r="P4399">
            <v>0.98119999999999996</v>
          </cell>
          <cell r="Q4399">
            <v>0.97192999999999996</v>
          </cell>
          <cell r="R4399">
            <v>0.95728999999999997</v>
          </cell>
          <cell r="S4399">
            <v>0.92847999999999997</v>
          </cell>
          <cell r="T4399">
            <v>0.89053000000000004</v>
          </cell>
          <cell r="U4399">
            <v>0.81850999999999996</v>
          </cell>
          <cell r="V4399">
            <v>0.67579999999999996</v>
          </cell>
          <cell r="W4399">
            <v>0.39715</v>
          </cell>
          <cell r="Y4399">
            <v>0.99936999999999998</v>
          </cell>
          <cell r="Z4399">
            <v>0.99973000000000001</v>
          </cell>
          <cell r="AA4399">
            <v>0.99970999999999999</v>
          </cell>
          <cell r="AB4399">
            <v>0.99902000000000002</v>
          </cell>
          <cell r="AC4399">
            <v>0.99870000000000003</v>
          </cell>
          <cell r="AD4399">
            <v>0.99853999999999998</v>
          </cell>
          <cell r="AE4399">
            <v>0.99800999999999995</v>
          </cell>
          <cell r="AF4399">
            <v>0.99717999999999996</v>
          </cell>
          <cell r="AG4399">
            <v>0.99595</v>
          </cell>
          <cell r="AH4399">
            <v>0.99412999999999996</v>
          </cell>
          <cell r="AI4399">
            <v>0.99131999999999998</v>
          </cell>
          <cell r="AJ4399">
            <v>0.98836999999999997</v>
          </cell>
          <cell r="AK4399">
            <v>0.98190999999999995</v>
          </cell>
          <cell r="AL4399">
            <v>0.97036999999999995</v>
          </cell>
          <cell r="AM4399">
            <v>0.95125000000000004</v>
          </cell>
          <cell r="AN4399">
            <v>0.90900999999999998</v>
          </cell>
          <cell r="AO4399">
            <v>0.81291000000000002</v>
          </cell>
          <cell r="AP4399">
            <v>0.49110999999999999</v>
          </cell>
        </row>
        <row r="4400">
          <cell r="D4400" t="str">
            <v>見附市</v>
          </cell>
          <cell r="E4400" t="str">
            <v>2030→2035</v>
          </cell>
          <cell r="F4400">
            <v>0.99944999999999995</v>
          </cell>
          <cell r="G4400">
            <v>0.99963000000000002</v>
          </cell>
          <cell r="H4400">
            <v>0.99917</v>
          </cell>
          <cell r="I4400">
            <v>0.99792000000000003</v>
          </cell>
          <cell r="J4400">
            <v>0.99714000000000003</v>
          </cell>
          <cell r="K4400">
            <v>0.99711000000000005</v>
          </cell>
          <cell r="L4400">
            <v>0.99651999999999996</v>
          </cell>
          <cell r="M4400">
            <v>0.99519000000000002</v>
          </cell>
          <cell r="N4400">
            <v>0.99278999999999995</v>
          </cell>
          <cell r="O4400">
            <v>0.98858999999999997</v>
          </cell>
          <cell r="P4400">
            <v>0.98211999999999999</v>
          </cell>
          <cell r="Q4400">
            <v>0.97321000000000002</v>
          </cell>
          <cell r="R4400">
            <v>0.95913999999999999</v>
          </cell>
          <cell r="S4400">
            <v>0.93118999999999996</v>
          </cell>
          <cell r="T4400">
            <v>0.89478999999999997</v>
          </cell>
          <cell r="U4400">
            <v>0.82711999999999997</v>
          </cell>
          <cell r="V4400">
            <v>0.68869999999999998</v>
          </cell>
          <cell r="W4400">
            <v>0.40721000000000002</v>
          </cell>
          <cell r="Y4400">
            <v>0.99941999999999998</v>
          </cell>
          <cell r="Z4400">
            <v>0.99975000000000003</v>
          </cell>
          <cell r="AA4400">
            <v>0.99972000000000005</v>
          </cell>
          <cell r="AB4400">
            <v>0.99907999999999997</v>
          </cell>
          <cell r="AC4400">
            <v>0.99878</v>
          </cell>
          <cell r="AD4400">
            <v>0.99861</v>
          </cell>
          <cell r="AE4400">
            <v>0.99811000000000005</v>
          </cell>
          <cell r="AF4400">
            <v>0.99731999999999998</v>
          </cell>
          <cell r="AG4400">
            <v>0.99614000000000003</v>
          </cell>
          <cell r="AH4400">
            <v>0.99438000000000004</v>
          </cell>
          <cell r="AI4400">
            <v>0.99168000000000001</v>
          </cell>
          <cell r="AJ4400">
            <v>0.98882999999999999</v>
          </cell>
          <cell r="AK4400">
            <v>0.98265999999999998</v>
          </cell>
          <cell r="AL4400">
            <v>0.97150999999999998</v>
          </cell>
          <cell r="AM4400">
            <v>0.95343999999999995</v>
          </cell>
          <cell r="AN4400">
            <v>0.91391</v>
          </cell>
          <cell r="AO4400">
            <v>0.82223000000000002</v>
          </cell>
          <cell r="AP4400">
            <v>0.50121000000000004</v>
          </cell>
        </row>
        <row r="4401">
          <cell r="D4401" t="str">
            <v>見附市</v>
          </cell>
          <cell r="E4401" t="str">
            <v>2035→2040</v>
          </cell>
          <cell r="F4401">
            <v>0.99950000000000006</v>
          </cell>
          <cell r="G4401">
            <v>0.99965999999999999</v>
          </cell>
          <cell r="H4401">
            <v>0.99924000000000002</v>
          </cell>
          <cell r="I4401">
            <v>0.99804999999999999</v>
          </cell>
          <cell r="J4401">
            <v>0.99726000000000004</v>
          </cell>
          <cell r="K4401">
            <v>0.99724000000000002</v>
          </cell>
          <cell r="L4401">
            <v>0.99668999999999996</v>
          </cell>
          <cell r="M4401">
            <v>0.99543999999999999</v>
          </cell>
          <cell r="N4401">
            <v>0.99314999999999998</v>
          </cell>
          <cell r="O4401">
            <v>0.98914000000000002</v>
          </cell>
          <cell r="P4401">
            <v>0.98294000000000004</v>
          </cell>
          <cell r="Q4401">
            <v>0.97431999999999996</v>
          </cell>
          <cell r="R4401">
            <v>0.96075999999999995</v>
          </cell>
          <cell r="S4401">
            <v>0.93359000000000003</v>
          </cell>
          <cell r="T4401">
            <v>0.89849999999999997</v>
          </cell>
          <cell r="U4401">
            <v>0.83472000000000002</v>
          </cell>
          <cell r="V4401">
            <v>0.70042000000000004</v>
          </cell>
          <cell r="W4401">
            <v>0.41648000000000002</v>
          </cell>
          <cell r="Y4401">
            <v>0.99946999999999997</v>
          </cell>
          <cell r="Z4401">
            <v>0.99977000000000005</v>
          </cell>
          <cell r="AA4401">
            <v>0.99973000000000001</v>
          </cell>
          <cell r="AB4401">
            <v>0.99912999999999996</v>
          </cell>
          <cell r="AC4401">
            <v>0.99883999999999995</v>
          </cell>
          <cell r="AD4401">
            <v>0.99868000000000001</v>
          </cell>
          <cell r="AE4401">
            <v>0.99819999999999998</v>
          </cell>
          <cell r="AF4401">
            <v>0.99743999999999999</v>
          </cell>
          <cell r="AG4401">
            <v>0.99629999999999996</v>
          </cell>
          <cell r="AH4401">
            <v>0.99460000000000004</v>
          </cell>
          <cell r="AI4401">
            <v>0.99199000000000004</v>
          </cell>
          <cell r="AJ4401">
            <v>0.98921999999999999</v>
          </cell>
          <cell r="AK4401">
            <v>0.98329999999999995</v>
          </cell>
          <cell r="AL4401">
            <v>0.97248000000000001</v>
          </cell>
          <cell r="AM4401">
            <v>0.95525000000000004</v>
          </cell>
          <cell r="AN4401">
            <v>0.91803999999999997</v>
          </cell>
          <cell r="AO4401">
            <v>0.83033000000000001</v>
          </cell>
          <cell r="AP4401">
            <v>0.51034999999999997</v>
          </cell>
        </row>
        <row r="4402">
          <cell r="D4402" t="str">
            <v>見附市</v>
          </cell>
          <cell r="E4402" t="str">
            <v>2040→2045</v>
          </cell>
          <cell r="F4402">
            <v>0.99953999999999998</v>
          </cell>
          <cell r="G4402">
            <v>0.99970000000000003</v>
          </cell>
          <cell r="H4402">
            <v>0.99929999999999997</v>
          </cell>
          <cell r="I4402">
            <v>0.99817</v>
          </cell>
          <cell r="J4402">
            <v>0.99736999999999998</v>
          </cell>
          <cell r="K4402">
            <v>0.99734999999999996</v>
          </cell>
          <cell r="L4402">
            <v>0.99685000000000001</v>
          </cell>
          <cell r="M4402">
            <v>0.99567000000000005</v>
          </cell>
          <cell r="N4402">
            <v>0.99346999999999996</v>
          </cell>
          <cell r="O4402">
            <v>0.98963999999999996</v>
          </cell>
          <cell r="P4402">
            <v>0.98368</v>
          </cell>
          <cell r="Q4402">
            <v>0.97529999999999994</v>
          </cell>
          <cell r="R4402">
            <v>0.96218000000000004</v>
          </cell>
          <cell r="S4402">
            <v>0.93572999999999995</v>
          </cell>
          <cell r="T4402">
            <v>0.90176000000000001</v>
          </cell>
          <cell r="U4402">
            <v>0.84145999999999999</v>
          </cell>
          <cell r="V4402">
            <v>0.71111999999999997</v>
          </cell>
          <cell r="W4402">
            <v>0.42504999999999998</v>
          </cell>
          <cell r="Y4402">
            <v>0.99951999999999996</v>
          </cell>
          <cell r="Z4402">
            <v>0.99978999999999996</v>
          </cell>
          <cell r="AA4402">
            <v>0.99973999999999996</v>
          </cell>
          <cell r="AB4402">
            <v>0.99917999999999996</v>
          </cell>
          <cell r="AC4402">
            <v>0.99890999999999996</v>
          </cell>
          <cell r="AD4402">
            <v>0.99873000000000001</v>
          </cell>
          <cell r="AE4402">
            <v>0.99827999999999995</v>
          </cell>
          <cell r="AF4402">
            <v>0.99755000000000005</v>
          </cell>
          <cell r="AG4402">
            <v>0.99643999999999999</v>
          </cell>
          <cell r="AH4402">
            <v>0.99478</v>
          </cell>
          <cell r="AI4402">
            <v>0.99226000000000003</v>
          </cell>
          <cell r="AJ4402">
            <v>0.98953999999999998</v>
          </cell>
          <cell r="AK4402">
            <v>0.98382999999999998</v>
          </cell>
          <cell r="AL4402">
            <v>0.97330000000000005</v>
          </cell>
          <cell r="AM4402">
            <v>0.95674999999999999</v>
          </cell>
          <cell r="AN4402">
            <v>0.92156000000000005</v>
          </cell>
          <cell r="AO4402">
            <v>0.83738999999999997</v>
          </cell>
          <cell r="AP4402">
            <v>0.51865000000000006</v>
          </cell>
        </row>
        <row r="4403">
          <cell r="D4403" t="str">
            <v>村上市</v>
          </cell>
          <cell r="E4403" t="str">
            <v>2015→2020</v>
          </cell>
          <cell r="F4403">
            <v>0.99922999999999995</v>
          </cell>
          <cell r="G4403">
            <v>0.99951000000000001</v>
          </cell>
          <cell r="H4403">
            <v>0.99890999999999996</v>
          </cell>
          <cell r="I4403">
            <v>0.99744999999999995</v>
          </cell>
          <cell r="J4403">
            <v>0.99673</v>
          </cell>
          <cell r="K4403">
            <v>0.99668999999999996</v>
          </cell>
          <cell r="L4403">
            <v>0.99589000000000005</v>
          </cell>
          <cell r="M4403">
            <v>0.99428000000000005</v>
          </cell>
          <cell r="N4403">
            <v>0.99145000000000005</v>
          </cell>
          <cell r="O4403">
            <v>0.98650000000000004</v>
          </cell>
          <cell r="P4403">
            <v>0.97901000000000005</v>
          </cell>
          <cell r="Q4403">
            <v>0.96877000000000002</v>
          </cell>
          <cell r="R4403">
            <v>0.94806000000000001</v>
          </cell>
          <cell r="S4403">
            <v>0.92081000000000002</v>
          </cell>
          <cell r="T4403">
            <v>0.87670999999999999</v>
          </cell>
          <cell r="U4403">
            <v>0.78268000000000004</v>
          </cell>
          <cell r="V4403">
            <v>0.63853000000000004</v>
          </cell>
          <cell r="W4403">
            <v>0.37813999999999998</v>
          </cell>
          <cell r="Y4403">
            <v>0.99922999999999995</v>
          </cell>
          <cell r="Z4403">
            <v>0.99966999999999995</v>
          </cell>
          <cell r="AA4403">
            <v>0.99968000000000001</v>
          </cell>
          <cell r="AB4403">
            <v>0.99888999999999994</v>
          </cell>
          <cell r="AC4403">
            <v>0.99853999999999998</v>
          </cell>
          <cell r="AD4403">
            <v>0.99836999999999998</v>
          </cell>
          <cell r="AE4403">
            <v>0.99777000000000005</v>
          </cell>
          <cell r="AF4403">
            <v>0.99685999999999997</v>
          </cell>
          <cell r="AG4403">
            <v>0.99548999999999999</v>
          </cell>
          <cell r="AH4403">
            <v>0.99348999999999998</v>
          </cell>
          <cell r="AI4403">
            <v>0.99043000000000003</v>
          </cell>
          <cell r="AJ4403">
            <v>0.98716000000000004</v>
          </cell>
          <cell r="AK4403">
            <v>0.98155000000000003</v>
          </cell>
          <cell r="AL4403">
            <v>0.97314999999999996</v>
          </cell>
          <cell r="AM4403">
            <v>0.95316999999999996</v>
          </cell>
          <cell r="AN4403">
            <v>0.90166000000000002</v>
          </cell>
          <cell r="AO4403">
            <v>0.79798999999999998</v>
          </cell>
          <cell r="AP4403">
            <v>0.47909000000000002</v>
          </cell>
        </row>
        <row r="4404">
          <cell r="D4404" t="str">
            <v>村上市</v>
          </cell>
          <cell r="E4404" t="str">
            <v>2020→2025</v>
          </cell>
          <cell r="F4404">
            <v>0.99931999999999999</v>
          </cell>
          <cell r="G4404">
            <v>0.99955000000000005</v>
          </cell>
          <cell r="H4404">
            <v>0.999</v>
          </cell>
          <cell r="I4404">
            <v>0.99761999999999995</v>
          </cell>
          <cell r="J4404">
            <v>0.99687000000000003</v>
          </cell>
          <cell r="K4404">
            <v>0.99683999999999995</v>
          </cell>
          <cell r="L4404">
            <v>0.99612000000000001</v>
          </cell>
          <cell r="M4404">
            <v>0.99460999999999999</v>
          </cell>
          <cell r="N4404">
            <v>0.99194000000000004</v>
          </cell>
          <cell r="O4404">
            <v>0.98726999999999998</v>
          </cell>
          <cell r="P4404">
            <v>0.98016000000000003</v>
          </cell>
          <cell r="Q4404">
            <v>0.97045000000000003</v>
          </cell>
          <cell r="R4404">
            <v>0.95043999999999995</v>
          </cell>
          <cell r="S4404">
            <v>0.92432000000000003</v>
          </cell>
          <cell r="T4404">
            <v>0.88261999999999996</v>
          </cell>
          <cell r="U4404">
            <v>0.79366999999999999</v>
          </cell>
          <cell r="V4404">
            <v>0.65410999999999997</v>
          </cell>
          <cell r="W4404">
            <v>0.39040000000000002</v>
          </cell>
          <cell r="Y4404">
            <v>0.99929999999999997</v>
          </cell>
          <cell r="Z4404">
            <v>0.99970000000000003</v>
          </cell>
          <cell r="AA4404">
            <v>0.99970000000000003</v>
          </cell>
          <cell r="AB4404">
            <v>0.99895999999999996</v>
          </cell>
          <cell r="AC4404">
            <v>0.99861999999999995</v>
          </cell>
          <cell r="AD4404">
            <v>0.99846000000000001</v>
          </cell>
          <cell r="AE4404">
            <v>0.99789000000000005</v>
          </cell>
          <cell r="AF4404">
            <v>0.99702999999999997</v>
          </cell>
          <cell r="AG4404">
            <v>0.99573999999999996</v>
          </cell>
          <cell r="AH4404">
            <v>0.99382999999999999</v>
          </cell>
          <cell r="AI4404">
            <v>0.99090999999999996</v>
          </cell>
          <cell r="AJ4404">
            <v>0.98780999999999997</v>
          </cell>
          <cell r="AK4404">
            <v>0.98260000000000003</v>
          </cell>
          <cell r="AL4404">
            <v>0.97479000000000005</v>
          </cell>
          <cell r="AM4404">
            <v>0.95647000000000004</v>
          </cell>
          <cell r="AN4404">
            <v>0.90859999999999996</v>
          </cell>
          <cell r="AO4404">
            <v>0.81072</v>
          </cell>
          <cell r="AP4404">
            <v>0.49197999999999997</v>
          </cell>
        </row>
        <row r="4405">
          <cell r="D4405" t="str">
            <v>村上市</v>
          </cell>
          <cell r="E4405" t="str">
            <v>2025→2030</v>
          </cell>
          <cell r="F4405">
            <v>0.99939</v>
          </cell>
          <cell r="G4405">
            <v>0.99958999999999998</v>
          </cell>
          <cell r="H4405">
            <v>0.99909000000000003</v>
          </cell>
          <cell r="I4405">
            <v>0.99778</v>
          </cell>
          <cell r="J4405">
            <v>0.99700999999999995</v>
          </cell>
          <cell r="K4405">
            <v>0.99697999999999998</v>
          </cell>
          <cell r="L4405">
            <v>0.99633000000000005</v>
          </cell>
          <cell r="M4405">
            <v>0.99492000000000003</v>
          </cell>
          <cell r="N4405">
            <v>0.99238999999999999</v>
          </cell>
          <cell r="O4405">
            <v>0.98797000000000001</v>
          </cell>
          <cell r="P4405">
            <v>0.98119999999999996</v>
          </cell>
          <cell r="Q4405">
            <v>0.97192999999999996</v>
          </cell>
          <cell r="R4405">
            <v>0.95254000000000005</v>
          </cell>
          <cell r="S4405">
            <v>0.92737000000000003</v>
          </cell>
          <cell r="T4405">
            <v>0.88754</v>
          </cell>
          <cell r="U4405">
            <v>0.80330000000000001</v>
          </cell>
          <cell r="V4405">
            <v>0.66817000000000004</v>
          </cell>
          <cell r="W4405">
            <v>0.40144999999999997</v>
          </cell>
          <cell r="Y4405">
            <v>0.99936999999999998</v>
          </cell>
          <cell r="Z4405">
            <v>0.99973000000000001</v>
          </cell>
          <cell r="AA4405">
            <v>0.99970999999999999</v>
          </cell>
          <cell r="AB4405">
            <v>0.99902000000000002</v>
          </cell>
          <cell r="AC4405">
            <v>0.99870000000000003</v>
          </cell>
          <cell r="AD4405">
            <v>0.99853999999999998</v>
          </cell>
          <cell r="AE4405">
            <v>0.99800999999999995</v>
          </cell>
          <cell r="AF4405">
            <v>0.99717999999999996</v>
          </cell>
          <cell r="AG4405">
            <v>0.99595</v>
          </cell>
          <cell r="AH4405">
            <v>0.99412999999999996</v>
          </cell>
          <cell r="AI4405">
            <v>0.99131999999999998</v>
          </cell>
          <cell r="AJ4405">
            <v>0.98836999999999997</v>
          </cell>
          <cell r="AK4405">
            <v>0.98348999999999998</v>
          </cell>
          <cell r="AL4405">
            <v>0.97616000000000003</v>
          </cell>
          <cell r="AM4405">
            <v>0.95914999999999995</v>
          </cell>
          <cell r="AN4405">
            <v>0.91444000000000003</v>
          </cell>
          <cell r="AO4405">
            <v>0.8216</v>
          </cell>
          <cell r="AP4405">
            <v>0.50344</v>
          </cell>
        </row>
        <row r="4406">
          <cell r="D4406" t="str">
            <v>村上市</v>
          </cell>
          <cell r="E4406" t="str">
            <v>2030→2035</v>
          </cell>
          <cell r="F4406">
            <v>0.99944999999999995</v>
          </cell>
          <cell r="G4406">
            <v>0.99963000000000002</v>
          </cell>
          <cell r="H4406">
            <v>0.99917</v>
          </cell>
          <cell r="I4406">
            <v>0.99792000000000003</v>
          </cell>
          <cell r="J4406">
            <v>0.99714000000000003</v>
          </cell>
          <cell r="K4406">
            <v>0.99711000000000005</v>
          </cell>
          <cell r="L4406">
            <v>0.99651999999999996</v>
          </cell>
          <cell r="M4406">
            <v>0.99519000000000002</v>
          </cell>
          <cell r="N4406">
            <v>0.99278999999999995</v>
          </cell>
          <cell r="O4406">
            <v>0.98858999999999997</v>
          </cell>
          <cell r="P4406">
            <v>0.98211999999999999</v>
          </cell>
          <cell r="Q4406">
            <v>0.97321000000000002</v>
          </cell>
          <cell r="R4406">
            <v>0.95438000000000001</v>
          </cell>
          <cell r="S4406">
            <v>0.93008000000000002</v>
          </cell>
          <cell r="T4406">
            <v>0.89178999999999997</v>
          </cell>
          <cell r="U4406">
            <v>0.81176000000000004</v>
          </cell>
          <cell r="V4406">
            <v>0.68091999999999997</v>
          </cell>
          <cell r="W4406">
            <v>0.41161999999999999</v>
          </cell>
          <cell r="Y4406">
            <v>0.99941999999999998</v>
          </cell>
          <cell r="Z4406">
            <v>0.99975000000000003</v>
          </cell>
          <cell r="AA4406">
            <v>0.99972000000000005</v>
          </cell>
          <cell r="AB4406">
            <v>0.99907999999999997</v>
          </cell>
          <cell r="AC4406">
            <v>0.99878</v>
          </cell>
          <cell r="AD4406">
            <v>0.99861</v>
          </cell>
          <cell r="AE4406">
            <v>0.99811000000000005</v>
          </cell>
          <cell r="AF4406">
            <v>0.99731999999999998</v>
          </cell>
          <cell r="AG4406">
            <v>0.99614000000000003</v>
          </cell>
          <cell r="AH4406">
            <v>0.99438000000000004</v>
          </cell>
          <cell r="AI4406">
            <v>0.99168000000000001</v>
          </cell>
          <cell r="AJ4406">
            <v>0.98882999999999999</v>
          </cell>
          <cell r="AK4406">
            <v>0.98424</v>
          </cell>
          <cell r="AL4406">
            <v>0.97731999999999997</v>
          </cell>
          <cell r="AM4406">
            <v>0.96135999999999999</v>
          </cell>
          <cell r="AN4406">
            <v>0.91935999999999996</v>
          </cell>
          <cell r="AO4406">
            <v>0.83101999999999998</v>
          </cell>
          <cell r="AP4406">
            <v>0.51378999999999997</v>
          </cell>
        </row>
        <row r="4407">
          <cell r="D4407" t="str">
            <v>村上市</v>
          </cell>
          <cell r="E4407" t="str">
            <v>2035→2040</v>
          </cell>
          <cell r="F4407">
            <v>0.99950000000000006</v>
          </cell>
          <cell r="G4407">
            <v>0.99965999999999999</v>
          </cell>
          <cell r="H4407">
            <v>0.99924000000000002</v>
          </cell>
          <cell r="I4407">
            <v>0.99804999999999999</v>
          </cell>
          <cell r="J4407">
            <v>0.99726000000000004</v>
          </cell>
          <cell r="K4407">
            <v>0.99724000000000002</v>
          </cell>
          <cell r="L4407">
            <v>0.99668999999999996</v>
          </cell>
          <cell r="M4407">
            <v>0.99543999999999999</v>
          </cell>
          <cell r="N4407">
            <v>0.99314999999999998</v>
          </cell>
          <cell r="O4407">
            <v>0.98914000000000002</v>
          </cell>
          <cell r="P4407">
            <v>0.98294000000000004</v>
          </cell>
          <cell r="Q4407">
            <v>0.97431999999999996</v>
          </cell>
          <cell r="R4407">
            <v>0.95599000000000001</v>
          </cell>
          <cell r="S4407">
            <v>0.93247999999999998</v>
          </cell>
          <cell r="T4407">
            <v>0.89549000000000001</v>
          </cell>
          <cell r="U4407">
            <v>0.81921999999999995</v>
          </cell>
          <cell r="V4407">
            <v>0.69250999999999996</v>
          </cell>
          <cell r="W4407">
            <v>0.42099999999999999</v>
          </cell>
          <cell r="Y4407">
            <v>0.99946999999999997</v>
          </cell>
          <cell r="Z4407">
            <v>0.99977000000000005</v>
          </cell>
          <cell r="AA4407">
            <v>0.99973000000000001</v>
          </cell>
          <cell r="AB4407">
            <v>0.99912999999999996</v>
          </cell>
          <cell r="AC4407">
            <v>0.99883999999999995</v>
          </cell>
          <cell r="AD4407">
            <v>0.99868000000000001</v>
          </cell>
          <cell r="AE4407">
            <v>0.99819999999999998</v>
          </cell>
          <cell r="AF4407">
            <v>0.99743999999999999</v>
          </cell>
          <cell r="AG4407">
            <v>0.99629999999999996</v>
          </cell>
          <cell r="AH4407">
            <v>0.99460000000000004</v>
          </cell>
          <cell r="AI4407">
            <v>0.99199000000000004</v>
          </cell>
          <cell r="AJ4407">
            <v>0.98921999999999999</v>
          </cell>
          <cell r="AK4407">
            <v>0.98487999999999998</v>
          </cell>
          <cell r="AL4407">
            <v>0.97828999999999999</v>
          </cell>
          <cell r="AM4407">
            <v>0.96318999999999999</v>
          </cell>
          <cell r="AN4407">
            <v>0.92352000000000001</v>
          </cell>
          <cell r="AO4407">
            <v>0.83919999999999995</v>
          </cell>
          <cell r="AP4407">
            <v>0.52315999999999996</v>
          </cell>
        </row>
        <row r="4408">
          <cell r="D4408" t="str">
            <v>村上市</v>
          </cell>
          <cell r="E4408" t="str">
            <v>2040→2045</v>
          </cell>
          <cell r="F4408">
            <v>0.99953999999999998</v>
          </cell>
          <cell r="G4408">
            <v>0.99970000000000003</v>
          </cell>
          <cell r="H4408">
            <v>0.99929999999999997</v>
          </cell>
          <cell r="I4408">
            <v>0.99817</v>
          </cell>
          <cell r="J4408">
            <v>0.99736999999999998</v>
          </cell>
          <cell r="K4408">
            <v>0.99734999999999996</v>
          </cell>
          <cell r="L4408">
            <v>0.99685000000000001</v>
          </cell>
          <cell r="M4408">
            <v>0.99567000000000005</v>
          </cell>
          <cell r="N4408">
            <v>0.99346999999999996</v>
          </cell>
          <cell r="O4408">
            <v>0.98963999999999996</v>
          </cell>
          <cell r="P4408">
            <v>0.98368</v>
          </cell>
          <cell r="Q4408">
            <v>0.97529999999999994</v>
          </cell>
          <cell r="R4408">
            <v>0.95740000000000003</v>
          </cell>
          <cell r="S4408">
            <v>0.93462000000000001</v>
          </cell>
          <cell r="T4408">
            <v>0.89873999999999998</v>
          </cell>
          <cell r="U4408">
            <v>0.82582</v>
          </cell>
          <cell r="V4408">
            <v>0.70308999999999999</v>
          </cell>
          <cell r="W4408">
            <v>0.42965999999999999</v>
          </cell>
          <cell r="Y4408">
            <v>0.99951999999999996</v>
          </cell>
          <cell r="Z4408">
            <v>0.99978999999999996</v>
          </cell>
          <cell r="AA4408">
            <v>0.99973999999999996</v>
          </cell>
          <cell r="AB4408">
            <v>0.99917999999999996</v>
          </cell>
          <cell r="AC4408">
            <v>0.99890999999999996</v>
          </cell>
          <cell r="AD4408">
            <v>0.99873000000000001</v>
          </cell>
          <cell r="AE4408">
            <v>0.99827999999999995</v>
          </cell>
          <cell r="AF4408">
            <v>0.99755000000000005</v>
          </cell>
          <cell r="AG4408">
            <v>0.99643999999999999</v>
          </cell>
          <cell r="AH4408">
            <v>0.99478</v>
          </cell>
          <cell r="AI4408">
            <v>0.99226000000000003</v>
          </cell>
          <cell r="AJ4408">
            <v>0.98953999999999998</v>
          </cell>
          <cell r="AK4408">
            <v>0.98541000000000001</v>
          </cell>
          <cell r="AL4408">
            <v>0.97911999999999999</v>
          </cell>
          <cell r="AM4408">
            <v>0.96470999999999996</v>
          </cell>
          <cell r="AN4408">
            <v>0.92706</v>
          </cell>
          <cell r="AO4408">
            <v>0.84633999999999998</v>
          </cell>
          <cell r="AP4408">
            <v>0.53166999999999998</v>
          </cell>
        </row>
        <row r="4409">
          <cell r="D4409" t="str">
            <v>燕市</v>
          </cell>
          <cell r="E4409" t="str">
            <v>2015→2020</v>
          </cell>
          <cell r="F4409">
            <v>0.99922999999999995</v>
          </cell>
          <cell r="G4409">
            <v>0.99951000000000001</v>
          </cell>
          <cell r="H4409">
            <v>0.99890999999999996</v>
          </cell>
          <cell r="I4409">
            <v>0.99744999999999995</v>
          </cell>
          <cell r="J4409">
            <v>0.99673</v>
          </cell>
          <cell r="K4409">
            <v>0.99668999999999996</v>
          </cell>
          <cell r="L4409">
            <v>0.99589000000000005</v>
          </cell>
          <cell r="M4409">
            <v>0.99428000000000005</v>
          </cell>
          <cell r="N4409">
            <v>0.99145000000000005</v>
          </cell>
          <cell r="O4409">
            <v>0.98650000000000004</v>
          </cell>
          <cell r="P4409">
            <v>0.97901000000000005</v>
          </cell>
          <cell r="Q4409">
            <v>0.96877000000000002</v>
          </cell>
          <cell r="R4409">
            <v>0.95089000000000001</v>
          </cell>
          <cell r="S4409">
            <v>0.91830000000000001</v>
          </cell>
          <cell r="T4409">
            <v>0.86817999999999995</v>
          </cell>
          <cell r="U4409">
            <v>0.7823</v>
          </cell>
          <cell r="V4409">
            <v>0.63910999999999996</v>
          </cell>
          <cell r="W4409">
            <v>0.39698</v>
          </cell>
          <cell r="Y4409">
            <v>0.99922999999999995</v>
          </cell>
          <cell r="Z4409">
            <v>0.99966999999999995</v>
          </cell>
          <cell r="AA4409">
            <v>0.99968000000000001</v>
          </cell>
          <cell r="AB4409">
            <v>0.99888999999999994</v>
          </cell>
          <cell r="AC4409">
            <v>0.99853999999999998</v>
          </cell>
          <cell r="AD4409">
            <v>0.99836999999999998</v>
          </cell>
          <cell r="AE4409">
            <v>0.99777000000000005</v>
          </cell>
          <cell r="AF4409">
            <v>0.99685999999999997</v>
          </cell>
          <cell r="AG4409">
            <v>0.99548999999999999</v>
          </cell>
          <cell r="AH4409">
            <v>0.99348999999999998</v>
          </cell>
          <cell r="AI4409">
            <v>0.99043000000000003</v>
          </cell>
          <cell r="AJ4409">
            <v>0.98716000000000004</v>
          </cell>
          <cell r="AK4409">
            <v>0.98062000000000005</v>
          </cell>
          <cell r="AL4409">
            <v>0.96877000000000002</v>
          </cell>
          <cell r="AM4409">
            <v>0.94638</v>
          </cell>
          <cell r="AN4409">
            <v>0.89524000000000004</v>
          </cell>
          <cell r="AO4409">
            <v>0.79542999999999997</v>
          </cell>
          <cell r="AP4409">
            <v>0.48410999999999998</v>
          </cell>
        </row>
        <row r="4410">
          <cell r="D4410" t="str">
            <v>燕市</v>
          </cell>
          <cell r="E4410" t="str">
            <v>2020→2025</v>
          </cell>
          <cell r="F4410">
            <v>0.99931999999999999</v>
          </cell>
          <cell r="G4410">
            <v>0.99955000000000005</v>
          </cell>
          <cell r="H4410">
            <v>0.999</v>
          </cell>
          <cell r="I4410">
            <v>0.99761999999999995</v>
          </cell>
          <cell r="J4410">
            <v>0.99687000000000003</v>
          </cell>
          <cell r="K4410">
            <v>0.99683999999999995</v>
          </cell>
          <cell r="L4410">
            <v>0.99612000000000001</v>
          </cell>
          <cell r="M4410">
            <v>0.99460999999999999</v>
          </cell>
          <cell r="N4410">
            <v>0.99194000000000004</v>
          </cell>
          <cell r="O4410">
            <v>0.98726999999999998</v>
          </cell>
          <cell r="P4410">
            <v>0.98016000000000003</v>
          </cell>
          <cell r="Q4410">
            <v>0.97045000000000003</v>
          </cell>
          <cell r="R4410">
            <v>0.95326999999999995</v>
          </cell>
          <cell r="S4410">
            <v>0.92179999999999995</v>
          </cell>
          <cell r="T4410">
            <v>0.87402999999999997</v>
          </cell>
          <cell r="U4410">
            <v>0.79329000000000005</v>
          </cell>
          <cell r="V4410">
            <v>0.65471000000000001</v>
          </cell>
          <cell r="W4410">
            <v>0.40986</v>
          </cell>
          <cell r="Y4410">
            <v>0.99929999999999997</v>
          </cell>
          <cell r="Z4410">
            <v>0.99970000000000003</v>
          </cell>
          <cell r="AA4410">
            <v>0.99970000000000003</v>
          </cell>
          <cell r="AB4410">
            <v>0.99895999999999996</v>
          </cell>
          <cell r="AC4410">
            <v>0.99861999999999995</v>
          </cell>
          <cell r="AD4410">
            <v>0.99846000000000001</v>
          </cell>
          <cell r="AE4410">
            <v>0.99789000000000005</v>
          </cell>
          <cell r="AF4410">
            <v>0.99702999999999997</v>
          </cell>
          <cell r="AG4410">
            <v>0.99573999999999996</v>
          </cell>
          <cell r="AH4410">
            <v>0.99382999999999999</v>
          </cell>
          <cell r="AI4410">
            <v>0.99090999999999996</v>
          </cell>
          <cell r="AJ4410">
            <v>0.98780999999999997</v>
          </cell>
          <cell r="AK4410">
            <v>0.98167000000000004</v>
          </cell>
          <cell r="AL4410">
            <v>0.97040000000000004</v>
          </cell>
          <cell r="AM4410">
            <v>0.94965999999999995</v>
          </cell>
          <cell r="AN4410">
            <v>0.90214000000000005</v>
          </cell>
          <cell r="AO4410">
            <v>0.80811999999999995</v>
          </cell>
          <cell r="AP4410">
            <v>0.49714000000000003</v>
          </cell>
        </row>
        <row r="4411">
          <cell r="D4411" t="str">
            <v>燕市</v>
          </cell>
          <cell r="E4411" t="str">
            <v>2025→2030</v>
          </cell>
          <cell r="F4411">
            <v>0.99939</v>
          </cell>
          <cell r="G4411">
            <v>0.99958999999999998</v>
          </cell>
          <cell r="H4411">
            <v>0.99909000000000003</v>
          </cell>
          <cell r="I4411">
            <v>0.99778</v>
          </cell>
          <cell r="J4411">
            <v>0.99700999999999995</v>
          </cell>
          <cell r="K4411">
            <v>0.99697999999999998</v>
          </cell>
          <cell r="L4411">
            <v>0.99633000000000005</v>
          </cell>
          <cell r="M4411">
            <v>0.99492000000000003</v>
          </cell>
          <cell r="N4411">
            <v>0.99238999999999999</v>
          </cell>
          <cell r="O4411">
            <v>0.98797000000000001</v>
          </cell>
          <cell r="P4411">
            <v>0.98119999999999996</v>
          </cell>
          <cell r="Q4411">
            <v>0.97192999999999996</v>
          </cell>
          <cell r="R4411">
            <v>0.95538000000000001</v>
          </cell>
          <cell r="S4411">
            <v>0.92484999999999995</v>
          </cell>
          <cell r="T4411">
            <v>0.87890999999999997</v>
          </cell>
          <cell r="U4411">
            <v>0.80291000000000001</v>
          </cell>
          <cell r="V4411">
            <v>0.66876999999999998</v>
          </cell>
          <cell r="W4411">
            <v>0.42146</v>
          </cell>
          <cell r="Y4411">
            <v>0.99936999999999998</v>
          </cell>
          <cell r="Z4411">
            <v>0.99973000000000001</v>
          </cell>
          <cell r="AA4411">
            <v>0.99970999999999999</v>
          </cell>
          <cell r="AB4411">
            <v>0.99902000000000002</v>
          </cell>
          <cell r="AC4411">
            <v>0.99870000000000003</v>
          </cell>
          <cell r="AD4411">
            <v>0.99853999999999998</v>
          </cell>
          <cell r="AE4411">
            <v>0.99800999999999995</v>
          </cell>
          <cell r="AF4411">
            <v>0.99717999999999996</v>
          </cell>
          <cell r="AG4411">
            <v>0.99595</v>
          </cell>
          <cell r="AH4411">
            <v>0.99412999999999996</v>
          </cell>
          <cell r="AI4411">
            <v>0.99131999999999998</v>
          </cell>
          <cell r="AJ4411">
            <v>0.98836999999999997</v>
          </cell>
          <cell r="AK4411">
            <v>0.98255999999999999</v>
          </cell>
          <cell r="AL4411">
            <v>0.97177000000000002</v>
          </cell>
          <cell r="AM4411">
            <v>0.95233000000000001</v>
          </cell>
          <cell r="AN4411">
            <v>0.90793000000000001</v>
          </cell>
          <cell r="AO4411">
            <v>0.81896999999999998</v>
          </cell>
          <cell r="AP4411">
            <v>0.50873000000000002</v>
          </cell>
        </row>
        <row r="4412">
          <cell r="D4412" t="str">
            <v>燕市</v>
          </cell>
          <cell r="E4412" t="str">
            <v>2030→2035</v>
          </cell>
          <cell r="F4412">
            <v>0.99944999999999995</v>
          </cell>
          <cell r="G4412">
            <v>0.99963000000000002</v>
          </cell>
          <cell r="H4412">
            <v>0.99917</v>
          </cell>
          <cell r="I4412">
            <v>0.99792000000000003</v>
          </cell>
          <cell r="J4412">
            <v>0.99714000000000003</v>
          </cell>
          <cell r="K4412">
            <v>0.99711000000000005</v>
          </cell>
          <cell r="L4412">
            <v>0.99651999999999996</v>
          </cell>
          <cell r="M4412">
            <v>0.99519000000000002</v>
          </cell>
          <cell r="N4412">
            <v>0.99278999999999995</v>
          </cell>
          <cell r="O4412">
            <v>0.98858999999999997</v>
          </cell>
          <cell r="P4412">
            <v>0.98211999999999999</v>
          </cell>
          <cell r="Q4412">
            <v>0.97321000000000002</v>
          </cell>
          <cell r="R4412">
            <v>0.95721999999999996</v>
          </cell>
          <cell r="S4412">
            <v>0.92754000000000003</v>
          </cell>
          <cell r="T4412">
            <v>0.88310999999999995</v>
          </cell>
          <cell r="U4412">
            <v>0.81135999999999997</v>
          </cell>
          <cell r="V4412">
            <v>0.68154000000000003</v>
          </cell>
          <cell r="W4412">
            <v>0.43213000000000001</v>
          </cell>
          <cell r="Y4412">
            <v>0.99941999999999998</v>
          </cell>
          <cell r="Z4412">
            <v>0.99975000000000003</v>
          </cell>
          <cell r="AA4412">
            <v>0.99972000000000005</v>
          </cell>
          <cell r="AB4412">
            <v>0.99907999999999997</v>
          </cell>
          <cell r="AC4412">
            <v>0.99878</v>
          </cell>
          <cell r="AD4412">
            <v>0.99861</v>
          </cell>
          <cell r="AE4412">
            <v>0.99811000000000005</v>
          </cell>
          <cell r="AF4412">
            <v>0.99731999999999998</v>
          </cell>
          <cell r="AG4412">
            <v>0.99614000000000003</v>
          </cell>
          <cell r="AH4412">
            <v>0.99438000000000004</v>
          </cell>
          <cell r="AI4412">
            <v>0.99168000000000001</v>
          </cell>
          <cell r="AJ4412">
            <v>0.98882999999999999</v>
          </cell>
          <cell r="AK4412">
            <v>0.98331000000000002</v>
          </cell>
          <cell r="AL4412">
            <v>0.97291000000000005</v>
          </cell>
          <cell r="AM4412">
            <v>0.95452000000000004</v>
          </cell>
          <cell r="AN4412">
            <v>0.91281999999999996</v>
          </cell>
          <cell r="AO4412">
            <v>0.82835999999999999</v>
          </cell>
          <cell r="AP4412">
            <v>0.51917999999999997</v>
          </cell>
        </row>
        <row r="4413">
          <cell r="D4413" t="str">
            <v>燕市</v>
          </cell>
          <cell r="E4413" t="str">
            <v>2035→2040</v>
          </cell>
          <cell r="F4413">
            <v>0.99950000000000006</v>
          </cell>
          <cell r="G4413">
            <v>0.99965999999999999</v>
          </cell>
          <cell r="H4413">
            <v>0.99924000000000002</v>
          </cell>
          <cell r="I4413">
            <v>0.99804999999999999</v>
          </cell>
          <cell r="J4413">
            <v>0.99726000000000004</v>
          </cell>
          <cell r="K4413">
            <v>0.99724000000000002</v>
          </cell>
          <cell r="L4413">
            <v>0.99668999999999996</v>
          </cell>
          <cell r="M4413">
            <v>0.99543999999999999</v>
          </cell>
          <cell r="N4413">
            <v>0.99314999999999998</v>
          </cell>
          <cell r="O4413">
            <v>0.98914000000000002</v>
          </cell>
          <cell r="P4413">
            <v>0.98294000000000004</v>
          </cell>
          <cell r="Q4413">
            <v>0.97431999999999996</v>
          </cell>
          <cell r="R4413">
            <v>0.95884000000000003</v>
          </cell>
          <cell r="S4413">
            <v>0.92993999999999999</v>
          </cell>
          <cell r="T4413">
            <v>0.88678000000000001</v>
          </cell>
          <cell r="U4413">
            <v>0.81881999999999999</v>
          </cell>
          <cell r="V4413">
            <v>0.69313999999999998</v>
          </cell>
          <cell r="W4413">
            <v>0.44196999999999997</v>
          </cell>
          <cell r="Y4413">
            <v>0.99946999999999997</v>
          </cell>
          <cell r="Z4413">
            <v>0.99977000000000005</v>
          </cell>
          <cell r="AA4413">
            <v>0.99973000000000001</v>
          </cell>
          <cell r="AB4413">
            <v>0.99912999999999996</v>
          </cell>
          <cell r="AC4413">
            <v>0.99883999999999995</v>
          </cell>
          <cell r="AD4413">
            <v>0.99868000000000001</v>
          </cell>
          <cell r="AE4413">
            <v>0.99819999999999998</v>
          </cell>
          <cell r="AF4413">
            <v>0.99743999999999999</v>
          </cell>
          <cell r="AG4413">
            <v>0.99629999999999996</v>
          </cell>
          <cell r="AH4413">
            <v>0.99460000000000004</v>
          </cell>
          <cell r="AI4413">
            <v>0.99199000000000004</v>
          </cell>
          <cell r="AJ4413">
            <v>0.98921999999999999</v>
          </cell>
          <cell r="AK4413">
            <v>0.98394999999999999</v>
          </cell>
          <cell r="AL4413">
            <v>0.97387999999999997</v>
          </cell>
          <cell r="AM4413">
            <v>0.95633999999999997</v>
          </cell>
          <cell r="AN4413">
            <v>0.91695000000000004</v>
          </cell>
          <cell r="AO4413">
            <v>0.83650999999999998</v>
          </cell>
          <cell r="AP4413">
            <v>0.52864999999999995</v>
          </cell>
        </row>
        <row r="4414">
          <cell r="D4414" t="str">
            <v>燕市</v>
          </cell>
          <cell r="E4414" t="str">
            <v>2040→2045</v>
          </cell>
          <cell r="F4414">
            <v>0.99953999999999998</v>
          </cell>
          <cell r="G4414">
            <v>0.99970000000000003</v>
          </cell>
          <cell r="H4414">
            <v>0.99929999999999997</v>
          </cell>
          <cell r="I4414">
            <v>0.99817</v>
          </cell>
          <cell r="J4414">
            <v>0.99736999999999998</v>
          </cell>
          <cell r="K4414">
            <v>0.99734999999999996</v>
          </cell>
          <cell r="L4414">
            <v>0.99685000000000001</v>
          </cell>
          <cell r="M4414">
            <v>0.99567000000000005</v>
          </cell>
          <cell r="N4414">
            <v>0.99346999999999996</v>
          </cell>
          <cell r="O4414">
            <v>0.98963999999999996</v>
          </cell>
          <cell r="P4414">
            <v>0.98368</v>
          </cell>
          <cell r="Q4414">
            <v>0.97529999999999994</v>
          </cell>
          <cell r="R4414">
            <v>0.96026</v>
          </cell>
          <cell r="S4414">
            <v>0.93206999999999995</v>
          </cell>
          <cell r="T4414">
            <v>0.88998999999999995</v>
          </cell>
          <cell r="U4414">
            <v>0.82542000000000004</v>
          </cell>
          <cell r="V4414">
            <v>0.70372000000000001</v>
          </cell>
          <cell r="W4414">
            <v>0.45107000000000003</v>
          </cell>
          <cell r="Y4414">
            <v>0.99951999999999996</v>
          </cell>
          <cell r="Z4414">
            <v>0.99978999999999996</v>
          </cell>
          <cell r="AA4414">
            <v>0.99973999999999996</v>
          </cell>
          <cell r="AB4414">
            <v>0.99917999999999996</v>
          </cell>
          <cell r="AC4414">
            <v>0.99890999999999996</v>
          </cell>
          <cell r="AD4414">
            <v>0.99873000000000001</v>
          </cell>
          <cell r="AE4414">
            <v>0.99827999999999995</v>
          </cell>
          <cell r="AF4414">
            <v>0.99755000000000005</v>
          </cell>
          <cell r="AG4414">
            <v>0.99643999999999999</v>
          </cell>
          <cell r="AH4414">
            <v>0.99478</v>
          </cell>
          <cell r="AI4414">
            <v>0.99226000000000003</v>
          </cell>
          <cell r="AJ4414">
            <v>0.98953999999999998</v>
          </cell>
          <cell r="AK4414">
            <v>0.98448000000000002</v>
          </cell>
          <cell r="AL4414">
            <v>0.97470999999999997</v>
          </cell>
          <cell r="AM4414">
            <v>0.95784000000000002</v>
          </cell>
          <cell r="AN4414">
            <v>0.92045999999999994</v>
          </cell>
          <cell r="AO4414">
            <v>0.84362000000000004</v>
          </cell>
          <cell r="AP4414">
            <v>0.53725000000000001</v>
          </cell>
        </row>
        <row r="4415">
          <cell r="D4415" t="str">
            <v>糸魚川市</v>
          </cell>
          <cell r="E4415" t="str">
            <v>2015→2020</v>
          </cell>
          <cell r="F4415">
            <v>0.99922999999999995</v>
          </cell>
          <cell r="G4415">
            <v>0.99951000000000001</v>
          </cell>
          <cell r="H4415">
            <v>0.99890999999999996</v>
          </cell>
          <cell r="I4415">
            <v>0.99744999999999995</v>
          </cell>
          <cell r="J4415">
            <v>0.99673</v>
          </cell>
          <cell r="K4415">
            <v>0.99668999999999996</v>
          </cell>
          <cell r="L4415">
            <v>0.99589000000000005</v>
          </cell>
          <cell r="M4415">
            <v>0.99428000000000005</v>
          </cell>
          <cell r="N4415">
            <v>0.99145000000000005</v>
          </cell>
          <cell r="O4415">
            <v>0.98650000000000004</v>
          </cell>
          <cell r="P4415">
            <v>0.97901000000000005</v>
          </cell>
          <cell r="Q4415">
            <v>0.96877000000000002</v>
          </cell>
          <cell r="R4415">
            <v>0.95121999999999995</v>
          </cell>
          <cell r="S4415">
            <v>0.92335999999999996</v>
          </cell>
          <cell r="T4415">
            <v>0.88290000000000002</v>
          </cell>
          <cell r="U4415">
            <v>0.79196</v>
          </cell>
          <cell r="V4415">
            <v>0.64714000000000005</v>
          </cell>
          <cell r="W4415">
            <v>0.37856000000000001</v>
          </cell>
          <cell r="Y4415">
            <v>0.99922999999999995</v>
          </cell>
          <cell r="Z4415">
            <v>0.99966999999999995</v>
          </cell>
          <cell r="AA4415">
            <v>0.99968000000000001</v>
          </cell>
          <cell r="AB4415">
            <v>0.99888999999999994</v>
          </cell>
          <cell r="AC4415">
            <v>0.99853999999999998</v>
          </cell>
          <cell r="AD4415">
            <v>0.99836999999999998</v>
          </cell>
          <cell r="AE4415">
            <v>0.99777000000000005</v>
          </cell>
          <cell r="AF4415">
            <v>0.99685999999999997</v>
          </cell>
          <cell r="AG4415">
            <v>0.99548999999999999</v>
          </cell>
          <cell r="AH4415">
            <v>0.99348999999999998</v>
          </cell>
          <cell r="AI4415">
            <v>0.99043000000000003</v>
          </cell>
          <cell r="AJ4415">
            <v>0.98716000000000004</v>
          </cell>
          <cell r="AK4415">
            <v>0.98082000000000003</v>
          </cell>
          <cell r="AL4415">
            <v>0.96984999999999999</v>
          </cell>
          <cell r="AM4415">
            <v>0.94999</v>
          </cell>
          <cell r="AN4415">
            <v>0.90088000000000001</v>
          </cell>
          <cell r="AO4415">
            <v>0.80549999999999999</v>
          </cell>
          <cell r="AP4415">
            <v>0.48793999999999998</v>
          </cell>
        </row>
        <row r="4416">
          <cell r="D4416" t="str">
            <v>糸魚川市</v>
          </cell>
          <cell r="E4416" t="str">
            <v>2020→2025</v>
          </cell>
          <cell r="F4416">
            <v>0.99931999999999999</v>
          </cell>
          <cell r="G4416">
            <v>0.99955000000000005</v>
          </cell>
          <cell r="H4416">
            <v>0.999</v>
          </cell>
          <cell r="I4416">
            <v>0.99761999999999995</v>
          </cell>
          <cell r="J4416">
            <v>0.99687000000000003</v>
          </cell>
          <cell r="K4416">
            <v>0.99683999999999995</v>
          </cell>
          <cell r="L4416">
            <v>0.99612000000000001</v>
          </cell>
          <cell r="M4416">
            <v>0.99460999999999999</v>
          </cell>
          <cell r="N4416">
            <v>0.99194000000000004</v>
          </cell>
          <cell r="O4416">
            <v>0.98726999999999998</v>
          </cell>
          <cell r="P4416">
            <v>0.98016000000000003</v>
          </cell>
          <cell r="Q4416">
            <v>0.97045000000000003</v>
          </cell>
          <cell r="R4416">
            <v>0.95360999999999996</v>
          </cell>
          <cell r="S4416">
            <v>0.92686999999999997</v>
          </cell>
          <cell r="T4416">
            <v>0.88885000000000003</v>
          </cell>
          <cell r="U4416">
            <v>0.80308000000000002</v>
          </cell>
          <cell r="V4416">
            <v>0.66293000000000002</v>
          </cell>
          <cell r="W4416">
            <v>0.39083000000000001</v>
          </cell>
          <cell r="Y4416">
            <v>0.99929999999999997</v>
          </cell>
          <cell r="Z4416">
            <v>0.99970000000000003</v>
          </cell>
          <cell r="AA4416">
            <v>0.99970000000000003</v>
          </cell>
          <cell r="AB4416">
            <v>0.99895999999999996</v>
          </cell>
          <cell r="AC4416">
            <v>0.99861999999999995</v>
          </cell>
          <cell r="AD4416">
            <v>0.99846000000000001</v>
          </cell>
          <cell r="AE4416">
            <v>0.99789000000000005</v>
          </cell>
          <cell r="AF4416">
            <v>0.99702999999999997</v>
          </cell>
          <cell r="AG4416">
            <v>0.99573999999999996</v>
          </cell>
          <cell r="AH4416">
            <v>0.99382999999999999</v>
          </cell>
          <cell r="AI4416">
            <v>0.99090999999999996</v>
          </cell>
          <cell r="AJ4416">
            <v>0.98780999999999997</v>
          </cell>
          <cell r="AK4416">
            <v>0.98187000000000002</v>
          </cell>
          <cell r="AL4416">
            <v>0.97148000000000001</v>
          </cell>
          <cell r="AM4416">
            <v>0.95328000000000002</v>
          </cell>
          <cell r="AN4416">
            <v>0.90781999999999996</v>
          </cell>
          <cell r="AO4416">
            <v>0.81833999999999996</v>
          </cell>
          <cell r="AP4416">
            <v>0.50107000000000002</v>
          </cell>
        </row>
        <row r="4417">
          <cell r="D4417" t="str">
            <v>糸魚川市</v>
          </cell>
          <cell r="E4417" t="str">
            <v>2025→2030</v>
          </cell>
          <cell r="F4417">
            <v>0.99939</v>
          </cell>
          <cell r="G4417">
            <v>0.99958999999999998</v>
          </cell>
          <cell r="H4417">
            <v>0.99909000000000003</v>
          </cell>
          <cell r="I4417">
            <v>0.99778</v>
          </cell>
          <cell r="J4417">
            <v>0.99700999999999995</v>
          </cell>
          <cell r="K4417">
            <v>0.99697999999999998</v>
          </cell>
          <cell r="L4417">
            <v>0.99633000000000005</v>
          </cell>
          <cell r="M4417">
            <v>0.99492000000000003</v>
          </cell>
          <cell r="N4417">
            <v>0.99238999999999999</v>
          </cell>
          <cell r="O4417">
            <v>0.98797000000000001</v>
          </cell>
          <cell r="P4417">
            <v>0.98119999999999996</v>
          </cell>
          <cell r="Q4417">
            <v>0.97192999999999996</v>
          </cell>
          <cell r="R4417">
            <v>0.95572000000000001</v>
          </cell>
          <cell r="S4417">
            <v>0.92993000000000003</v>
          </cell>
          <cell r="T4417">
            <v>0.89380999999999999</v>
          </cell>
          <cell r="U4417">
            <v>0.81283000000000005</v>
          </cell>
          <cell r="V4417">
            <v>0.67717000000000005</v>
          </cell>
          <cell r="W4417">
            <v>0.40189000000000002</v>
          </cell>
          <cell r="Y4417">
            <v>0.99936999999999998</v>
          </cell>
          <cell r="Z4417">
            <v>0.99973000000000001</v>
          </cell>
          <cell r="AA4417">
            <v>0.99970999999999999</v>
          </cell>
          <cell r="AB4417">
            <v>0.99902000000000002</v>
          </cell>
          <cell r="AC4417">
            <v>0.99870000000000003</v>
          </cell>
          <cell r="AD4417">
            <v>0.99853999999999998</v>
          </cell>
          <cell r="AE4417">
            <v>0.99800999999999995</v>
          </cell>
          <cell r="AF4417">
            <v>0.99717999999999996</v>
          </cell>
          <cell r="AG4417">
            <v>0.99595</v>
          </cell>
          <cell r="AH4417">
            <v>0.99412999999999996</v>
          </cell>
          <cell r="AI4417">
            <v>0.99131999999999998</v>
          </cell>
          <cell r="AJ4417">
            <v>0.98836999999999997</v>
          </cell>
          <cell r="AK4417">
            <v>0.98275999999999997</v>
          </cell>
          <cell r="AL4417">
            <v>0.97284999999999999</v>
          </cell>
          <cell r="AM4417">
            <v>0.95596000000000003</v>
          </cell>
          <cell r="AN4417">
            <v>0.91364999999999996</v>
          </cell>
          <cell r="AO4417">
            <v>0.82933000000000001</v>
          </cell>
          <cell r="AP4417">
            <v>0.51275000000000004</v>
          </cell>
        </row>
        <row r="4418">
          <cell r="D4418" t="str">
            <v>糸魚川市</v>
          </cell>
          <cell r="E4418" t="str">
            <v>2030→2035</v>
          </cell>
          <cell r="F4418">
            <v>0.99944999999999995</v>
          </cell>
          <cell r="G4418">
            <v>0.99963000000000002</v>
          </cell>
          <cell r="H4418">
            <v>0.99917</v>
          </cell>
          <cell r="I4418">
            <v>0.99792000000000003</v>
          </cell>
          <cell r="J4418">
            <v>0.99714000000000003</v>
          </cell>
          <cell r="K4418">
            <v>0.99711000000000005</v>
          </cell>
          <cell r="L4418">
            <v>0.99651999999999996</v>
          </cell>
          <cell r="M4418">
            <v>0.99519000000000002</v>
          </cell>
          <cell r="N4418">
            <v>0.99278999999999995</v>
          </cell>
          <cell r="O4418">
            <v>0.98858999999999997</v>
          </cell>
          <cell r="P4418">
            <v>0.98211999999999999</v>
          </cell>
          <cell r="Q4418">
            <v>0.97321000000000002</v>
          </cell>
          <cell r="R4418">
            <v>0.95755999999999997</v>
          </cell>
          <cell r="S4418">
            <v>0.93264000000000002</v>
          </cell>
          <cell r="T4418">
            <v>0.89809000000000005</v>
          </cell>
          <cell r="U4418">
            <v>0.82138</v>
          </cell>
          <cell r="V4418">
            <v>0.69010000000000005</v>
          </cell>
          <cell r="W4418">
            <v>0.41206999999999999</v>
          </cell>
          <cell r="Y4418">
            <v>0.99941999999999998</v>
          </cell>
          <cell r="Z4418">
            <v>0.99975000000000003</v>
          </cell>
          <cell r="AA4418">
            <v>0.99972000000000005</v>
          </cell>
          <cell r="AB4418">
            <v>0.99907999999999997</v>
          </cell>
          <cell r="AC4418">
            <v>0.99878</v>
          </cell>
          <cell r="AD4418">
            <v>0.99861</v>
          </cell>
          <cell r="AE4418">
            <v>0.99811000000000005</v>
          </cell>
          <cell r="AF4418">
            <v>0.99731999999999998</v>
          </cell>
          <cell r="AG4418">
            <v>0.99614000000000003</v>
          </cell>
          <cell r="AH4418">
            <v>0.99438000000000004</v>
          </cell>
          <cell r="AI4418">
            <v>0.99168000000000001</v>
          </cell>
          <cell r="AJ4418">
            <v>0.98882999999999999</v>
          </cell>
          <cell r="AK4418">
            <v>0.98351</v>
          </cell>
          <cell r="AL4418">
            <v>0.97399999999999998</v>
          </cell>
          <cell r="AM4418">
            <v>0.95816000000000001</v>
          </cell>
          <cell r="AN4418">
            <v>0.91857</v>
          </cell>
          <cell r="AO4418">
            <v>0.83884000000000003</v>
          </cell>
          <cell r="AP4418">
            <v>0.52329000000000003</v>
          </cell>
        </row>
        <row r="4419">
          <cell r="D4419" t="str">
            <v>糸魚川市</v>
          </cell>
          <cell r="E4419" t="str">
            <v>2035→2040</v>
          </cell>
          <cell r="F4419">
            <v>0.99950000000000006</v>
          </cell>
          <cell r="G4419">
            <v>0.99965999999999999</v>
          </cell>
          <cell r="H4419">
            <v>0.99924000000000002</v>
          </cell>
          <cell r="I4419">
            <v>0.99804999999999999</v>
          </cell>
          <cell r="J4419">
            <v>0.99726000000000004</v>
          </cell>
          <cell r="K4419">
            <v>0.99724000000000002</v>
          </cell>
          <cell r="L4419">
            <v>0.99668999999999996</v>
          </cell>
          <cell r="M4419">
            <v>0.99543999999999999</v>
          </cell>
          <cell r="N4419">
            <v>0.99314999999999998</v>
          </cell>
          <cell r="O4419">
            <v>0.98914000000000002</v>
          </cell>
          <cell r="P4419">
            <v>0.98294000000000004</v>
          </cell>
          <cell r="Q4419">
            <v>0.97431999999999996</v>
          </cell>
          <cell r="R4419">
            <v>0.95916999999999997</v>
          </cell>
          <cell r="S4419">
            <v>0.93505000000000005</v>
          </cell>
          <cell r="T4419">
            <v>0.90181999999999995</v>
          </cell>
          <cell r="U4419">
            <v>0.82892999999999994</v>
          </cell>
          <cell r="V4419">
            <v>0.70184000000000002</v>
          </cell>
          <cell r="W4419">
            <v>0.42146</v>
          </cell>
          <cell r="Y4419">
            <v>0.99946999999999997</v>
          </cell>
          <cell r="Z4419">
            <v>0.99977000000000005</v>
          </cell>
          <cell r="AA4419">
            <v>0.99973000000000001</v>
          </cell>
          <cell r="AB4419">
            <v>0.99912999999999996</v>
          </cell>
          <cell r="AC4419">
            <v>0.99883999999999995</v>
          </cell>
          <cell r="AD4419">
            <v>0.99868000000000001</v>
          </cell>
          <cell r="AE4419">
            <v>0.99819999999999998</v>
          </cell>
          <cell r="AF4419">
            <v>0.99743999999999999</v>
          </cell>
          <cell r="AG4419">
            <v>0.99629999999999996</v>
          </cell>
          <cell r="AH4419">
            <v>0.99460000000000004</v>
          </cell>
          <cell r="AI4419">
            <v>0.99199000000000004</v>
          </cell>
          <cell r="AJ4419">
            <v>0.98921999999999999</v>
          </cell>
          <cell r="AK4419">
            <v>0.98414999999999997</v>
          </cell>
          <cell r="AL4419">
            <v>0.97496000000000005</v>
          </cell>
          <cell r="AM4419">
            <v>0.95998000000000006</v>
          </cell>
          <cell r="AN4419">
            <v>0.92273000000000005</v>
          </cell>
          <cell r="AO4419">
            <v>0.84709999999999996</v>
          </cell>
          <cell r="AP4419">
            <v>0.53283000000000003</v>
          </cell>
        </row>
        <row r="4420">
          <cell r="D4420" t="str">
            <v>糸魚川市</v>
          </cell>
          <cell r="E4420" t="str">
            <v>2040→2045</v>
          </cell>
          <cell r="F4420">
            <v>0.99953999999999998</v>
          </cell>
          <cell r="G4420">
            <v>0.99970000000000003</v>
          </cell>
          <cell r="H4420">
            <v>0.99929999999999997</v>
          </cell>
          <cell r="I4420">
            <v>0.99817</v>
          </cell>
          <cell r="J4420">
            <v>0.99736999999999998</v>
          </cell>
          <cell r="K4420">
            <v>0.99734999999999996</v>
          </cell>
          <cell r="L4420">
            <v>0.99685000000000001</v>
          </cell>
          <cell r="M4420">
            <v>0.99567000000000005</v>
          </cell>
          <cell r="N4420">
            <v>0.99346999999999996</v>
          </cell>
          <cell r="O4420">
            <v>0.98963999999999996</v>
          </cell>
          <cell r="P4420">
            <v>0.98368</v>
          </cell>
          <cell r="Q4420">
            <v>0.97529999999999994</v>
          </cell>
          <cell r="R4420">
            <v>0.96060000000000001</v>
          </cell>
          <cell r="S4420">
            <v>0.93720000000000003</v>
          </cell>
          <cell r="T4420">
            <v>0.90508999999999995</v>
          </cell>
          <cell r="U4420">
            <v>0.83562000000000003</v>
          </cell>
          <cell r="V4420">
            <v>0.71255999999999997</v>
          </cell>
          <cell r="W4420">
            <v>0.43013000000000001</v>
          </cell>
          <cell r="Y4420">
            <v>0.99951999999999996</v>
          </cell>
          <cell r="Z4420">
            <v>0.99978999999999996</v>
          </cell>
          <cell r="AA4420">
            <v>0.99973999999999996</v>
          </cell>
          <cell r="AB4420">
            <v>0.99917999999999996</v>
          </cell>
          <cell r="AC4420">
            <v>0.99890999999999996</v>
          </cell>
          <cell r="AD4420">
            <v>0.99873000000000001</v>
          </cell>
          <cell r="AE4420">
            <v>0.99827999999999995</v>
          </cell>
          <cell r="AF4420">
            <v>0.99755000000000005</v>
          </cell>
          <cell r="AG4420">
            <v>0.99643999999999999</v>
          </cell>
          <cell r="AH4420">
            <v>0.99478</v>
          </cell>
          <cell r="AI4420">
            <v>0.99226000000000003</v>
          </cell>
          <cell r="AJ4420">
            <v>0.98953999999999998</v>
          </cell>
          <cell r="AK4420">
            <v>0.98468</v>
          </cell>
          <cell r="AL4420">
            <v>0.97579000000000005</v>
          </cell>
          <cell r="AM4420">
            <v>0.96148999999999996</v>
          </cell>
          <cell r="AN4420">
            <v>0.92625999999999997</v>
          </cell>
          <cell r="AO4420">
            <v>0.85429999999999995</v>
          </cell>
          <cell r="AP4420">
            <v>0.54149999999999998</v>
          </cell>
        </row>
        <row r="4421">
          <cell r="D4421" t="str">
            <v>妙高市</v>
          </cell>
          <cell r="E4421" t="str">
            <v>2015→2020</v>
          </cell>
          <cell r="F4421">
            <v>0.99922999999999995</v>
          </cell>
          <cell r="G4421">
            <v>0.99951000000000001</v>
          </cell>
          <cell r="H4421">
            <v>0.99890999999999996</v>
          </cell>
          <cell r="I4421">
            <v>0.99744999999999995</v>
          </cell>
          <cell r="J4421">
            <v>0.99673</v>
          </cell>
          <cell r="K4421">
            <v>0.99668999999999996</v>
          </cell>
          <cell r="L4421">
            <v>0.99589000000000005</v>
          </cell>
          <cell r="M4421">
            <v>0.99428000000000005</v>
          </cell>
          <cell r="N4421">
            <v>0.99145000000000005</v>
          </cell>
          <cell r="O4421">
            <v>0.98650000000000004</v>
          </cell>
          <cell r="P4421">
            <v>0.97901000000000005</v>
          </cell>
          <cell r="Q4421">
            <v>0.96877000000000002</v>
          </cell>
          <cell r="R4421">
            <v>0.95448999999999995</v>
          </cell>
          <cell r="S4421">
            <v>0.92554000000000003</v>
          </cell>
          <cell r="T4421">
            <v>0.88099000000000005</v>
          </cell>
          <cell r="U4421">
            <v>0.79381999999999997</v>
          </cell>
          <cell r="V4421">
            <v>0.64944000000000002</v>
          </cell>
          <cell r="W4421">
            <v>0.38069999999999998</v>
          </cell>
          <cell r="Y4421">
            <v>0.99922999999999995</v>
          </cell>
          <cell r="Z4421">
            <v>0.99966999999999995</v>
          </cell>
          <cell r="AA4421">
            <v>0.99968000000000001</v>
          </cell>
          <cell r="AB4421">
            <v>0.99888999999999994</v>
          </cell>
          <cell r="AC4421">
            <v>0.99853999999999998</v>
          </cell>
          <cell r="AD4421">
            <v>0.99836999999999998</v>
          </cell>
          <cell r="AE4421">
            <v>0.99777000000000005</v>
          </cell>
          <cell r="AF4421">
            <v>0.99685999999999997</v>
          </cell>
          <cell r="AG4421">
            <v>0.99548999999999999</v>
          </cell>
          <cell r="AH4421">
            <v>0.99348999999999998</v>
          </cell>
          <cell r="AI4421">
            <v>0.99043000000000003</v>
          </cell>
          <cell r="AJ4421">
            <v>0.98716000000000004</v>
          </cell>
          <cell r="AK4421">
            <v>0.98187999999999998</v>
          </cell>
          <cell r="AL4421">
            <v>0.97014999999999996</v>
          </cell>
          <cell r="AM4421">
            <v>0.95184999999999997</v>
          </cell>
          <cell r="AN4421">
            <v>0.90488000000000002</v>
          </cell>
          <cell r="AO4421">
            <v>0.80803999999999998</v>
          </cell>
          <cell r="AP4421">
            <v>0.48624000000000001</v>
          </cell>
        </row>
        <row r="4422">
          <cell r="D4422" t="str">
            <v>妙高市</v>
          </cell>
          <cell r="E4422" t="str">
            <v>2020→2025</v>
          </cell>
          <cell r="F4422">
            <v>0.99931999999999999</v>
          </cell>
          <cell r="G4422">
            <v>0.99955000000000005</v>
          </cell>
          <cell r="H4422">
            <v>0.999</v>
          </cell>
          <cell r="I4422">
            <v>0.99761999999999995</v>
          </cell>
          <cell r="J4422">
            <v>0.99687000000000003</v>
          </cell>
          <cell r="K4422">
            <v>0.99683999999999995</v>
          </cell>
          <cell r="L4422">
            <v>0.99612000000000001</v>
          </cell>
          <cell r="M4422">
            <v>0.99460999999999999</v>
          </cell>
          <cell r="N4422">
            <v>0.99194000000000004</v>
          </cell>
          <cell r="O4422">
            <v>0.98726999999999998</v>
          </cell>
          <cell r="P4422">
            <v>0.98016000000000003</v>
          </cell>
          <cell r="Q4422">
            <v>0.97045000000000003</v>
          </cell>
          <cell r="R4422">
            <v>0.95689000000000002</v>
          </cell>
          <cell r="S4422">
            <v>0.92906</v>
          </cell>
          <cell r="T4422">
            <v>0.88693</v>
          </cell>
          <cell r="U4422">
            <v>0.80496999999999996</v>
          </cell>
          <cell r="V4422">
            <v>0.66529000000000005</v>
          </cell>
          <cell r="W4422">
            <v>0.39305000000000001</v>
          </cell>
          <cell r="Y4422">
            <v>0.99929999999999997</v>
          </cell>
          <cell r="Z4422">
            <v>0.99970000000000003</v>
          </cell>
          <cell r="AA4422">
            <v>0.99970000000000003</v>
          </cell>
          <cell r="AB4422">
            <v>0.99895999999999996</v>
          </cell>
          <cell r="AC4422">
            <v>0.99861999999999995</v>
          </cell>
          <cell r="AD4422">
            <v>0.99846000000000001</v>
          </cell>
          <cell r="AE4422">
            <v>0.99789000000000005</v>
          </cell>
          <cell r="AF4422">
            <v>0.99702999999999997</v>
          </cell>
          <cell r="AG4422">
            <v>0.99573999999999996</v>
          </cell>
          <cell r="AH4422">
            <v>0.99382999999999999</v>
          </cell>
          <cell r="AI4422">
            <v>0.99090999999999996</v>
          </cell>
          <cell r="AJ4422">
            <v>0.98780999999999997</v>
          </cell>
          <cell r="AK4422">
            <v>0.98292999999999997</v>
          </cell>
          <cell r="AL4422">
            <v>0.97177999999999998</v>
          </cell>
          <cell r="AM4422">
            <v>0.95513999999999999</v>
          </cell>
          <cell r="AN4422">
            <v>0.91185000000000005</v>
          </cell>
          <cell r="AO4422">
            <v>0.82093000000000005</v>
          </cell>
          <cell r="AP4422">
            <v>0.49931999999999999</v>
          </cell>
        </row>
        <row r="4423">
          <cell r="D4423" t="str">
            <v>妙高市</v>
          </cell>
          <cell r="E4423" t="str">
            <v>2025→2030</v>
          </cell>
          <cell r="F4423">
            <v>0.99939</v>
          </cell>
          <cell r="G4423">
            <v>0.99958999999999998</v>
          </cell>
          <cell r="H4423">
            <v>0.99909000000000003</v>
          </cell>
          <cell r="I4423">
            <v>0.99778</v>
          </cell>
          <cell r="J4423">
            <v>0.99700999999999995</v>
          </cell>
          <cell r="K4423">
            <v>0.99697999999999998</v>
          </cell>
          <cell r="L4423">
            <v>0.99633000000000005</v>
          </cell>
          <cell r="M4423">
            <v>0.99492000000000003</v>
          </cell>
          <cell r="N4423">
            <v>0.99238999999999999</v>
          </cell>
          <cell r="O4423">
            <v>0.98797000000000001</v>
          </cell>
          <cell r="P4423">
            <v>0.98119999999999996</v>
          </cell>
          <cell r="Q4423">
            <v>0.97192999999999996</v>
          </cell>
          <cell r="R4423">
            <v>0.95899999999999996</v>
          </cell>
          <cell r="S4423">
            <v>0.93213000000000001</v>
          </cell>
          <cell r="T4423">
            <v>0.89188000000000001</v>
          </cell>
          <cell r="U4423">
            <v>0.81472999999999995</v>
          </cell>
          <cell r="V4423">
            <v>0.67957999999999996</v>
          </cell>
          <cell r="W4423">
            <v>0.40417999999999998</v>
          </cell>
          <cell r="Y4423">
            <v>0.99936999999999998</v>
          </cell>
          <cell r="Z4423">
            <v>0.99973000000000001</v>
          </cell>
          <cell r="AA4423">
            <v>0.99970999999999999</v>
          </cell>
          <cell r="AB4423">
            <v>0.99902000000000002</v>
          </cell>
          <cell r="AC4423">
            <v>0.99870000000000003</v>
          </cell>
          <cell r="AD4423">
            <v>0.99853999999999998</v>
          </cell>
          <cell r="AE4423">
            <v>0.99800999999999995</v>
          </cell>
          <cell r="AF4423">
            <v>0.99717999999999996</v>
          </cell>
          <cell r="AG4423">
            <v>0.99595</v>
          </cell>
          <cell r="AH4423">
            <v>0.99412999999999996</v>
          </cell>
          <cell r="AI4423">
            <v>0.99131999999999998</v>
          </cell>
          <cell r="AJ4423">
            <v>0.98836999999999997</v>
          </cell>
          <cell r="AK4423">
            <v>0.98382000000000003</v>
          </cell>
          <cell r="AL4423">
            <v>0.97314999999999996</v>
          </cell>
          <cell r="AM4423">
            <v>0.95782</v>
          </cell>
          <cell r="AN4423">
            <v>0.91771000000000003</v>
          </cell>
          <cell r="AO4423">
            <v>0.83194999999999997</v>
          </cell>
          <cell r="AP4423">
            <v>0.51095999999999997</v>
          </cell>
        </row>
        <row r="4424">
          <cell r="D4424" t="str">
            <v>妙高市</v>
          </cell>
          <cell r="E4424" t="str">
            <v>2030→2035</v>
          </cell>
          <cell r="F4424">
            <v>0.99944999999999995</v>
          </cell>
          <cell r="G4424">
            <v>0.99963000000000002</v>
          </cell>
          <cell r="H4424">
            <v>0.99917</v>
          </cell>
          <cell r="I4424">
            <v>0.99792000000000003</v>
          </cell>
          <cell r="J4424">
            <v>0.99714000000000003</v>
          </cell>
          <cell r="K4424">
            <v>0.99711000000000005</v>
          </cell>
          <cell r="L4424">
            <v>0.99651999999999996</v>
          </cell>
          <cell r="M4424">
            <v>0.99519000000000002</v>
          </cell>
          <cell r="N4424">
            <v>0.99278999999999995</v>
          </cell>
          <cell r="O4424">
            <v>0.98858999999999997</v>
          </cell>
          <cell r="P4424">
            <v>0.98211999999999999</v>
          </cell>
          <cell r="Q4424">
            <v>0.97321000000000002</v>
          </cell>
          <cell r="R4424">
            <v>0.96084999999999998</v>
          </cell>
          <cell r="S4424">
            <v>0.93484999999999996</v>
          </cell>
          <cell r="T4424">
            <v>0.89615</v>
          </cell>
          <cell r="U4424">
            <v>0.82330999999999999</v>
          </cell>
          <cell r="V4424">
            <v>0.69255</v>
          </cell>
          <cell r="W4424">
            <v>0.41441</v>
          </cell>
          <cell r="Y4424">
            <v>0.99941999999999998</v>
          </cell>
          <cell r="Z4424">
            <v>0.99975000000000003</v>
          </cell>
          <cell r="AA4424">
            <v>0.99972000000000005</v>
          </cell>
          <cell r="AB4424">
            <v>0.99907999999999997</v>
          </cell>
          <cell r="AC4424">
            <v>0.99878</v>
          </cell>
          <cell r="AD4424">
            <v>0.99861</v>
          </cell>
          <cell r="AE4424">
            <v>0.99811000000000005</v>
          </cell>
          <cell r="AF4424">
            <v>0.99731999999999998</v>
          </cell>
          <cell r="AG4424">
            <v>0.99614000000000003</v>
          </cell>
          <cell r="AH4424">
            <v>0.99438000000000004</v>
          </cell>
          <cell r="AI4424">
            <v>0.99168000000000001</v>
          </cell>
          <cell r="AJ4424">
            <v>0.98882999999999999</v>
          </cell>
          <cell r="AK4424">
            <v>0.98456999999999995</v>
          </cell>
          <cell r="AL4424">
            <v>0.97430000000000005</v>
          </cell>
          <cell r="AM4424">
            <v>0.96003000000000005</v>
          </cell>
          <cell r="AN4424">
            <v>0.92264999999999997</v>
          </cell>
          <cell r="AO4424">
            <v>0.84148999999999996</v>
          </cell>
          <cell r="AP4424">
            <v>0.52146999999999999</v>
          </cell>
        </row>
        <row r="4425">
          <cell r="D4425" t="str">
            <v>妙高市</v>
          </cell>
          <cell r="E4425" t="str">
            <v>2035→2040</v>
          </cell>
          <cell r="F4425">
            <v>0.99950000000000006</v>
          </cell>
          <cell r="G4425">
            <v>0.99965999999999999</v>
          </cell>
          <cell r="H4425">
            <v>0.99924000000000002</v>
          </cell>
          <cell r="I4425">
            <v>0.99804999999999999</v>
          </cell>
          <cell r="J4425">
            <v>0.99726000000000004</v>
          </cell>
          <cell r="K4425">
            <v>0.99724000000000002</v>
          </cell>
          <cell r="L4425">
            <v>0.99668999999999996</v>
          </cell>
          <cell r="M4425">
            <v>0.99543999999999999</v>
          </cell>
          <cell r="N4425">
            <v>0.99314999999999998</v>
          </cell>
          <cell r="O4425">
            <v>0.98914000000000002</v>
          </cell>
          <cell r="P4425">
            <v>0.98294000000000004</v>
          </cell>
          <cell r="Q4425">
            <v>0.97431999999999996</v>
          </cell>
          <cell r="R4425">
            <v>0.96247000000000005</v>
          </cell>
          <cell r="S4425">
            <v>0.93725999999999998</v>
          </cell>
          <cell r="T4425">
            <v>0.89986999999999995</v>
          </cell>
          <cell r="U4425">
            <v>0.83087999999999995</v>
          </cell>
          <cell r="V4425">
            <v>0.70433999999999997</v>
          </cell>
          <cell r="W4425">
            <v>0.42385</v>
          </cell>
          <cell r="Y4425">
            <v>0.99946999999999997</v>
          </cell>
          <cell r="Z4425">
            <v>0.99977000000000005</v>
          </cell>
          <cell r="AA4425">
            <v>0.99973000000000001</v>
          </cell>
          <cell r="AB4425">
            <v>0.99912999999999996</v>
          </cell>
          <cell r="AC4425">
            <v>0.99883999999999995</v>
          </cell>
          <cell r="AD4425">
            <v>0.99868000000000001</v>
          </cell>
          <cell r="AE4425">
            <v>0.99819999999999998</v>
          </cell>
          <cell r="AF4425">
            <v>0.99743999999999999</v>
          </cell>
          <cell r="AG4425">
            <v>0.99629999999999996</v>
          </cell>
          <cell r="AH4425">
            <v>0.99460000000000004</v>
          </cell>
          <cell r="AI4425">
            <v>0.99199000000000004</v>
          </cell>
          <cell r="AJ4425">
            <v>0.98921999999999999</v>
          </cell>
          <cell r="AK4425">
            <v>0.98521000000000003</v>
          </cell>
          <cell r="AL4425">
            <v>0.97526999999999997</v>
          </cell>
          <cell r="AM4425">
            <v>0.96184999999999998</v>
          </cell>
          <cell r="AN4425">
            <v>0.92683000000000004</v>
          </cell>
          <cell r="AO4425">
            <v>0.84977000000000003</v>
          </cell>
          <cell r="AP4425">
            <v>0.53097000000000005</v>
          </cell>
        </row>
        <row r="4426">
          <cell r="D4426" t="str">
            <v>妙高市</v>
          </cell>
          <cell r="E4426" t="str">
            <v>2040→2045</v>
          </cell>
          <cell r="F4426">
            <v>0.99953999999999998</v>
          </cell>
          <cell r="G4426">
            <v>0.99970000000000003</v>
          </cell>
          <cell r="H4426">
            <v>0.99929999999999997</v>
          </cell>
          <cell r="I4426">
            <v>0.99817</v>
          </cell>
          <cell r="J4426">
            <v>0.99736999999999998</v>
          </cell>
          <cell r="K4426">
            <v>0.99734999999999996</v>
          </cell>
          <cell r="L4426">
            <v>0.99685000000000001</v>
          </cell>
          <cell r="M4426">
            <v>0.99567000000000005</v>
          </cell>
          <cell r="N4426">
            <v>0.99346999999999996</v>
          </cell>
          <cell r="O4426">
            <v>0.98963999999999996</v>
          </cell>
          <cell r="P4426">
            <v>0.98368</v>
          </cell>
          <cell r="Q4426">
            <v>0.97529999999999994</v>
          </cell>
          <cell r="R4426">
            <v>0.96389999999999998</v>
          </cell>
          <cell r="S4426">
            <v>0.93940999999999997</v>
          </cell>
          <cell r="T4426">
            <v>0.90312999999999999</v>
          </cell>
          <cell r="U4426">
            <v>0.83757999999999999</v>
          </cell>
          <cell r="V4426">
            <v>0.71509999999999996</v>
          </cell>
          <cell r="W4426">
            <v>0.43257000000000001</v>
          </cell>
          <cell r="Y4426">
            <v>0.99951999999999996</v>
          </cell>
          <cell r="Z4426">
            <v>0.99978999999999996</v>
          </cell>
          <cell r="AA4426">
            <v>0.99973999999999996</v>
          </cell>
          <cell r="AB4426">
            <v>0.99917999999999996</v>
          </cell>
          <cell r="AC4426">
            <v>0.99890999999999996</v>
          </cell>
          <cell r="AD4426">
            <v>0.99873000000000001</v>
          </cell>
          <cell r="AE4426">
            <v>0.99827999999999995</v>
          </cell>
          <cell r="AF4426">
            <v>0.99755000000000005</v>
          </cell>
          <cell r="AG4426">
            <v>0.99643999999999999</v>
          </cell>
          <cell r="AH4426">
            <v>0.99478</v>
          </cell>
          <cell r="AI4426">
            <v>0.99226000000000003</v>
          </cell>
          <cell r="AJ4426">
            <v>0.98953999999999998</v>
          </cell>
          <cell r="AK4426">
            <v>0.98573999999999995</v>
          </cell>
          <cell r="AL4426">
            <v>0.97609999999999997</v>
          </cell>
          <cell r="AM4426">
            <v>0.96336999999999995</v>
          </cell>
          <cell r="AN4426">
            <v>0.93037000000000003</v>
          </cell>
          <cell r="AO4426">
            <v>0.85699999999999998</v>
          </cell>
          <cell r="AP4426">
            <v>0.53961000000000003</v>
          </cell>
        </row>
        <row r="4427">
          <cell r="D4427" t="str">
            <v>五泉市</v>
          </cell>
          <cell r="E4427" t="str">
            <v>2015→2020</v>
          </cell>
          <cell r="F4427">
            <v>0.99922999999999995</v>
          </cell>
          <cell r="G4427">
            <v>0.99951000000000001</v>
          </cell>
          <cell r="H4427">
            <v>0.99890999999999996</v>
          </cell>
          <cell r="I4427">
            <v>0.99744999999999995</v>
          </cell>
          <cell r="J4427">
            <v>0.99673</v>
          </cell>
          <cell r="K4427">
            <v>0.99668999999999996</v>
          </cell>
          <cell r="L4427">
            <v>0.99589000000000005</v>
          </cell>
          <cell r="M4427">
            <v>0.99428000000000005</v>
          </cell>
          <cell r="N4427">
            <v>0.99145000000000005</v>
          </cell>
          <cell r="O4427">
            <v>0.98650000000000004</v>
          </cell>
          <cell r="P4427">
            <v>0.97901000000000005</v>
          </cell>
          <cell r="Q4427">
            <v>0.96877000000000002</v>
          </cell>
          <cell r="R4427">
            <v>0.94901000000000002</v>
          </cell>
          <cell r="S4427">
            <v>0.92047000000000001</v>
          </cell>
          <cell r="T4427">
            <v>0.87780999999999998</v>
          </cell>
          <cell r="U4427">
            <v>0.79032000000000002</v>
          </cell>
          <cell r="V4427">
            <v>0.64502000000000004</v>
          </cell>
          <cell r="W4427">
            <v>0.37136000000000002</v>
          </cell>
          <cell r="Y4427">
            <v>0.99922999999999995</v>
          </cell>
          <cell r="Z4427">
            <v>0.99966999999999995</v>
          </cell>
          <cell r="AA4427">
            <v>0.99968000000000001</v>
          </cell>
          <cell r="AB4427">
            <v>0.99888999999999994</v>
          </cell>
          <cell r="AC4427">
            <v>0.99853999999999998</v>
          </cell>
          <cell r="AD4427">
            <v>0.99836999999999998</v>
          </cell>
          <cell r="AE4427">
            <v>0.99777000000000005</v>
          </cell>
          <cell r="AF4427">
            <v>0.99685999999999997</v>
          </cell>
          <cell r="AG4427">
            <v>0.99548999999999999</v>
          </cell>
          <cell r="AH4427">
            <v>0.99348999999999998</v>
          </cell>
          <cell r="AI4427">
            <v>0.99043000000000003</v>
          </cell>
          <cell r="AJ4427">
            <v>0.98716000000000004</v>
          </cell>
          <cell r="AK4427">
            <v>0.98221999999999998</v>
          </cell>
          <cell r="AL4427">
            <v>0.97223000000000004</v>
          </cell>
          <cell r="AM4427">
            <v>0.95286999999999999</v>
          </cell>
          <cell r="AN4427">
            <v>0.90866999999999998</v>
          </cell>
          <cell r="AO4427">
            <v>0.81638999999999995</v>
          </cell>
          <cell r="AP4427">
            <v>0.48510999999999999</v>
          </cell>
        </row>
        <row r="4428">
          <cell r="D4428" t="str">
            <v>五泉市</v>
          </cell>
          <cell r="E4428" t="str">
            <v>2020→2025</v>
          </cell>
          <cell r="F4428">
            <v>0.99931999999999999</v>
          </cell>
          <cell r="G4428">
            <v>0.99955000000000005</v>
          </cell>
          <cell r="H4428">
            <v>0.999</v>
          </cell>
          <cell r="I4428">
            <v>0.99761999999999995</v>
          </cell>
          <cell r="J4428">
            <v>0.99687000000000003</v>
          </cell>
          <cell r="K4428">
            <v>0.99683999999999995</v>
          </cell>
          <cell r="L4428">
            <v>0.99612000000000001</v>
          </cell>
          <cell r="M4428">
            <v>0.99460999999999999</v>
          </cell>
          <cell r="N4428">
            <v>0.99194000000000004</v>
          </cell>
          <cell r="O4428">
            <v>0.98726999999999998</v>
          </cell>
          <cell r="P4428">
            <v>0.98016000000000003</v>
          </cell>
          <cell r="Q4428">
            <v>0.97045000000000003</v>
          </cell>
          <cell r="R4428">
            <v>0.95138999999999996</v>
          </cell>
          <cell r="S4428">
            <v>0.92398000000000002</v>
          </cell>
          <cell r="T4428">
            <v>0.88371999999999995</v>
          </cell>
          <cell r="U4428">
            <v>0.80142000000000002</v>
          </cell>
          <cell r="V4428">
            <v>0.66076000000000001</v>
          </cell>
          <cell r="W4428">
            <v>0.38340999999999997</v>
          </cell>
          <cell r="Y4428">
            <v>0.99929999999999997</v>
          </cell>
          <cell r="Z4428">
            <v>0.99970000000000003</v>
          </cell>
          <cell r="AA4428">
            <v>0.99970000000000003</v>
          </cell>
          <cell r="AB4428">
            <v>0.99895999999999996</v>
          </cell>
          <cell r="AC4428">
            <v>0.99861999999999995</v>
          </cell>
          <cell r="AD4428">
            <v>0.99846000000000001</v>
          </cell>
          <cell r="AE4428">
            <v>0.99789000000000005</v>
          </cell>
          <cell r="AF4428">
            <v>0.99702999999999997</v>
          </cell>
          <cell r="AG4428">
            <v>0.99573999999999996</v>
          </cell>
          <cell r="AH4428">
            <v>0.99382999999999999</v>
          </cell>
          <cell r="AI4428">
            <v>0.99090999999999996</v>
          </cell>
          <cell r="AJ4428">
            <v>0.98780999999999997</v>
          </cell>
          <cell r="AK4428">
            <v>0.98326999999999998</v>
          </cell>
          <cell r="AL4428">
            <v>0.97385999999999995</v>
          </cell>
          <cell r="AM4428">
            <v>0.95616999999999996</v>
          </cell>
          <cell r="AN4428">
            <v>0.91566999999999998</v>
          </cell>
          <cell r="AO4428">
            <v>0.82940999999999998</v>
          </cell>
          <cell r="AP4428">
            <v>0.49815999999999999</v>
          </cell>
        </row>
        <row r="4429">
          <cell r="D4429" t="str">
            <v>五泉市</v>
          </cell>
          <cell r="E4429" t="str">
            <v>2025→2030</v>
          </cell>
          <cell r="F4429">
            <v>0.99939</v>
          </cell>
          <cell r="G4429">
            <v>0.99958999999999998</v>
          </cell>
          <cell r="H4429">
            <v>0.99909000000000003</v>
          </cell>
          <cell r="I4429">
            <v>0.99778</v>
          </cell>
          <cell r="J4429">
            <v>0.99700999999999995</v>
          </cell>
          <cell r="K4429">
            <v>0.99697999999999998</v>
          </cell>
          <cell r="L4429">
            <v>0.99633000000000005</v>
          </cell>
          <cell r="M4429">
            <v>0.99492000000000003</v>
          </cell>
          <cell r="N4429">
            <v>0.99238999999999999</v>
          </cell>
          <cell r="O4429">
            <v>0.98797000000000001</v>
          </cell>
          <cell r="P4429">
            <v>0.98119999999999996</v>
          </cell>
          <cell r="Q4429">
            <v>0.97192999999999996</v>
          </cell>
          <cell r="R4429">
            <v>0.95350000000000001</v>
          </cell>
          <cell r="S4429">
            <v>0.92703000000000002</v>
          </cell>
          <cell r="T4429">
            <v>0.88866000000000001</v>
          </cell>
          <cell r="U4429">
            <v>0.81115000000000004</v>
          </cell>
          <cell r="V4429">
            <v>0.67496</v>
          </cell>
          <cell r="W4429">
            <v>0.39426</v>
          </cell>
          <cell r="Y4429">
            <v>0.99936999999999998</v>
          </cell>
          <cell r="Z4429">
            <v>0.99973000000000001</v>
          </cell>
          <cell r="AA4429">
            <v>0.99970999999999999</v>
          </cell>
          <cell r="AB4429">
            <v>0.99902000000000002</v>
          </cell>
          <cell r="AC4429">
            <v>0.99870000000000003</v>
          </cell>
          <cell r="AD4429">
            <v>0.99853999999999998</v>
          </cell>
          <cell r="AE4429">
            <v>0.99800999999999995</v>
          </cell>
          <cell r="AF4429">
            <v>0.99717999999999996</v>
          </cell>
          <cell r="AG4429">
            <v>0.99595</v>
          </cell>
          <cell r="AH4429">
            <v>0.99412999999999996</v>
          </cell>
          <cell r="AI4429">
            <v>0.99131999999999998</v>
          </cell>
          <cell r="AJ4429">
            <v>0.98836999999999997</v>
          </cell>
          <cell r="AK4429">
            <v>0.98416000000000003</v>
          </cell>
          <cell r="AL4429">
            <v>0.97524</v>
          </cell>
          <cell r="AM4429">
            <v>0.95884999999999998</v>
          </cell>
          <cell r="AN4429">
            <v>0.92156000000000005</v>
          </cell>
          <cell r="AO4429">
            <v>0.84055000000000002</v>
          </cell>
          <cell r="AP4429">
            <v>0.50976999999999995</v>
          </cell>
        </row>
        <row r="4430">
          <cell r="D4430" t="str">
            <v>五泉市</v>
          </cell>
          <cell r="E4430" t="str">
            <v>2030→2035</v>
          </cell>
          <cell r="F4430">
            <v>0.99944999999999995</v>
          </cell>
          <cell r="G4430">
            <v>0.99963000000000002</v>
          </cell>
          <cell r="H4430">
            <v>0.99917</v>
          </cell>
          <cell r="I4430">
            <v>0.99792000000000003</v>
          </cell>
          <cell r="J4430">
            <v>0.99714000000000003</v>
          </cell>
          <cell r="K4430">
            <v>0.99711000000000005</v>
          </cell>
          <cell r="L4430">
            <v>0.99651999999999996</v>
          </cell>
          <cell r="M4430">
            <v>0.99519000000000002</v>
          </cell>
          <cell r="N4430">
            <v>0.99278999999999995</v>
          </cell>
          <cell r="O4430">
            <v>0.98858999999999997</v>
          </cell>
          <cell r="P4430">
            <v>0.98211999999999999</v>
          </cell>
          <cell r="Q4430">
            <v>0.97321000000000002</v>
          </cell>
          <cell r="R4430">
            <v>0.95533000000000001</v>
          </cell>
          <cell r="S4430">
            <v>0.92972999999999995</v>
          </cell>
          <cell r="T4430">
            <v>0.89290999999999998</v>
          </cell>
          <cell r="U4430">
            <v>0.81967999999999996</v>
          </cell>
          <cell r="V4430">
            <v>0.68784000000000001</v>
          </cell>
          <cell r="W4430">
            <v>0.40425</v>
          </cell>
          <cell r="Y4430">
            <v>0.99941999999999998</v>
          </cell>
          <cell r="Z4430">
            <v>0.99975000000000003</v>
          </cell>
          <cell r="AA4430">
            <v>0.99972000000000005</v>
          </cell>
          <cell r="AB4430">
            <v>0.99907999999999997</v>
          </cell>
          <cell r="AC4430">
            <v>0.99878</v>
          </cell>
          <cell r="AD4430">
            <v>0.99861</v>
          </cell>
          <cell r="AE4430">
            <v>0.99811000000000005</v>
          </cell>
          <cell r="AF4430">
            <v>0.99731999999999998</v>
          </cell>
          <cell r="AG4430">
            <v>0.99614000000000003</v>
          </cell>
          <cell r="AH4430">
            <v>0.99438000000000004</v>
          </cell>
          <cell r="AI4430">
            <v>0.99168000000000001</v>
          </cell>
          <cell r="AJ4430">
            <v>0.98882999999999999</v>
          </cell>
          <cell r="AK4430">
            <v>0.98492000000000002</v>
          </cell>
          <cell r="AL4430">
            <v>0.97638999999999998</v>
          </cell>
          <cell r="AM4430">
            <v>0.96106000000000003</v>
          </cell>
          <cell r="AN4430">
            <v>0.92652000000000001</v>
          </cell>
          <cell r="AO4430">
            <v>0.85019</v>
          </cell>
          <cell r="AP4430">
            <v>0.52024999999999999</v>
          </cell>
        </row>
        <row r="4431">
          <cell r="D4431" t="str">
            <v>五泉市</v>
          </cell>
          <cell r="E4431" t="str">
            <v>2035→2040</v>
          </cell>
          <cell r="F4431">
            <v>0.99950000000000006</v>
          </cell>
          <cell r="G4431">
            <v>0.99965999999999999</v>
          </cell>
          <cell r="H4431">
            <v>0.99924000000000002</v>
          </cell>
          <cell r="I4431">
            <v>0.99804999999999999</v>
          </cell>
          <cell r="J4431">
            <v>0.99726000000000004</v>
          </cell>
          <cell r="K4431">
            <v>0.99724000000000002</v>
          </cell>
          <cell r="L4431">
            <v>0.99668999999999996</v>
          </cell>
          <cell r="M4431">
            <v>0.99543999999999999</v>
          </cell>
          <cell r="N4431">
            <v>0.99314999999999998</v>
          </cell>
          <cell r="O4431">
            <v>0.98914000000000002</v>
          </cell>
          <cell r="P4431">
            <v>0.98294000000000004</v>
          </cell>
          <cell r="Q4431">
            <v>0.97431999999999996</v>
          </cell>
          <cell r="R4431">
            <v>0.95694000000000001</v>
          </cell>
          <cell r="S4431">
            <v>0.93213000000000001</v>
          </cell>
          <cell r="T4431">
            <v>0.89661000000000002</v>
          </cell>
          <cell r="U4431">
            <v>0.82721999999999996</v>
          </cell>
          <cell r="V4431">
            <v>0.69955000000000001</v>
          </cell>
          <cell r="W4431">
            <v>0.41344999999999998</v>
          </cell>
          <cell r="Y4431">
            <v>0.99946999999999997</v>
          </cell>
          <cell r="Z4431">
            <v>0.99977000000000005</v>
          </cell>
          <cell r="AA4431">
            <v>0.99973000000000001</v>
          </cell>
          <cell r="AB4431">
            <v>0.99912999999999996</v>
          </cell>
          <cell r="AC4431">
            <v>0.99883999999999995</v>
          </cell>
          <cell r="AD4431">
            <v>0.99868000000000001</v>
          </cell>
          <cell r="AE4431">
            <v>0.99819999999999998</v>
          </cell>
          <cell r="AF4431">
            <v>0.99743999999999999</v>
          </cell>
          <cell r="AG4431">
            <v>0.99629999999999996</v>
          </cell>
          <cell r="AH4431">
            <v>0.99460000000000004</v>
          </cell>
          <cell r="AI4431">
            <v>0.99199000000000004</v>
          </cell>
          <cell r="AJ4431">
            <v>0.98921999999999999</v>
          </cell>
          <cell r="AK4431">
            <v>0.98555999999999999</v>
          </cell>
          <cell r="AL4431">
            <v>0.97736000000000001</v>
          </cell>
          <cell r="AM4431">
            <v>0.96289000000000002</v>
          </cell>
          <cell r="AN4431">
            <v>0.93071000000000004</v>
          </cell>
          <cell r="AO4431">
            <v>0.85855999999999999</v>
          </cell>
          <cell r="AP4431">
            <v>0.52973000000000003</v>
          </cell>
        </row>
        <row r="4432">
          <cell r="D4432" t="str">
            <v>五泉市</v>
          </cell>
          <cell r="E4432" t="str">
            <v>2040→2045</v>
          </cell>
          <cell r="F4432">
            <v>0.99953999999999998</v>
          </cell>
          <cell r="G4432">
            <v>0.99970000000000003</v>
          </cell>
          <cell r="H4432">
            <v>0.99929999999999997</v>
          </cell>
          <cell r="I4432">
            <v>0.99817</v>
          </cell>
          <cell r="J4432">
            <v>0.99736999999999998</v>
          </cell>
          <cell r="K4432">
            <v>0.99734999999999996</v>
          </cell>
          <cell r="L4432">
            <v>0.99685000000000001</v>
          </cell>
          <cell r="M4432">
            <v>0.99567000000000005</v>
          </cell>
          <cell r="N4432">
            <v>0.99346999999999996</v>
          </cell>
          <cell r="O4432">
            <v>0.98963999999999996</v>
          </cell>
          <cell r="P4432">
            <v>0.98368</v>
          </cell>
          <cell r="Q4432">
            <v>0.97529999999999994</v>
          </cell>
          <cell r="R4432">
            <v>0.95835999999999999</v>
          </cell>
          <cell r="S4432">
            <v>0.93427000000000004</v>
          </cell>
          <cell r="T4432">
            <v>0.89985999999999999</v>
          </cell>
          <cell r="U4432">
            <v>0.83389000000000002</v>
          </cell>
          <cell r="V4432">
            <v>0.71023000000000003</v>
          </cell>
          <cell r="W4432">
            <v>0.42196</v>
          </cell>
          <cell r="Y4432">
            <v>0.99951999999999996</v>
          </cell>
          <cell r="Z4432">
            <v>0.99978999999999996</v>
          </cell>
          <cell r="AA4432">
            <v>0.99973999999999996</v>
          </cell>
          <cell r="AB4432">
            <v>0.99917999999999996</v>
          </cell>
          <cell r="AC4432">
            <v>0.99890999999999996</v>
          </cell>
          <cell r="AD4432">
            <v>0.99873000000000001</v>
          </cell>
          <cell r="AE4432">
            <v>0.99827999999999995</v>
          </cell>
          <cell r="AF4432">
            <v>0.99755000000000005</v>
          </cell>
          <cell r="AG4432">
            <v>0.99643999999999999</v>
          </cell>
          <cell r="AH4432">
            <v>0.99478</v>
          </cell>
          <cell r="AI4432">
            <v>0.99226000000000003</v>
          </cell>
          <cell r="AJ4432">
            <v>0.98953999999999998</v>
          </cell>
          <cell r="AK4432">
            <v>0.98609000000000002</v>
          </cell>
          <cell r="AL4432">
            <v>0.97819</v>
          </cell>
          <cell r="AM4432">
            <v>0.96440000000000003</v>
          </cell>
          <cell r="AN4432">
            <v>0.93427000000000004</v>
          </cell>
          <cell r="AO4432">
            <v>0.86585999999999996</v>
          </cell>
          <cell r="AP4432">
            <v>0.53835</v>
          </cell>
        </row>
        <row r="4433">
          <cell r="D4433" t="str">
            <v>上越市</v>
          </cell>
          <cell r="E4433" t="str">
            <v>2015→2020</v>
          </cell>
          <cell r="F4433">
            <v>0.99922999999999995</v>
          </cell>
          <cell r="G4433">
            <v>0.99951000000000001</v>
          </cell>
          <cell r="H4433">
            <v>0.99890999999999996</v>
          </cell>
          <cell r="I4433">
            <v>0.99744999999999995</v>
          </cell>
          <cell r="J4433">
            <v>0.99673</v>
          </cell>
          <cell r="K4433">
            <v>0.99668999999999996</v>
          </cell>
          <cell r="L4433">
            <v>0.99589000000000005</v>
          </cell>
          <cell r="M4433">
            <v>0.99428000000000005</v>
          </cell>
          <cell r="N4433">
            <v>0.99145000000000005</v>
          </cell>
          <cell r="O4433">
            <v>0.98650000000000004</v>
          </cell>
          <cell r="P4433">
            <v>0.97901000000000005</v>
          </cell>
          <cell r="Q4433">
            <v>0.96877000000000002</v>
          </cell>
          <cell r="R4433">
            <v>0.95126999999999995</v>
          </cell>
          <cell r="S4433">
            <v>0.92081999999999997</v>
          </cell>
          <cell r="T4433">
            <v>0.87717999999999996</v>
          </cell>
          <cell r="U4433">
            <v>0.78693000000000002</v>
          </cell>
          <cell r="V4433">
            <v>0.64831000000000005</v>
          </cell>
          <cell r="W4433">
            <v>0.39063999999999999</v>
          </cell>
          <cell r="Y4433">
            <v>0.99922999999999995</v>
          </cell>
          <cell r="Z4433">
            <v>0.99966999999999995</v>
          </cell>
          <cell r="AA4433">
            <v>0.99968000000000001</v>
          </cell>
          <cell r="AB4433">
            <v>0.99888999999999994</v>
          </cell>
          <cell r="AC4433">
            <v>0.99853999999999998</v>
          </cell>
          <cell r="AD4433">
            <v>0.99836999999999998</v>
          </cell>
          <cell r="AE4433">
            <v>0.99777000000000005</v>
          </cell>
          <cell r="AF4433">
            <v>0.99685999999999997</v>
          </cell>
          <cell r="AG4433">
            <v>0.99548999999999999</v>
          </cell>
          <cell r="AH4433">
            <v>0.99348999999999998</v>
          </cell>
          <cell r="AI4433">
            <v>0.99043000000000003</v>
          </cell>
          <cell r="AJ4433">
            <v>0.98716000000000004</v>
          </cell>
          <cell r="AK4433">
            <v>0.98092999999999997</v>
          </cell>
          <cell r="AL4433">
            <v>0.96957000000000004</v>
          </cell>
          <cell r="AM4433">
            <v>0.94823999999999997</v>
          </cell>
          <cell r="AN4433">
            <v>0.89893000000000001</v>
          </cell>
          <cell r="AO4433">
            <v>0.80813999999999997</v>
          </cell>
          <cell r="AP4433">
            <v>0.50041999999999998</v>
          </cell>
        </row>
        <row r="4434">
          <cell r="D4434" t="str">
            <v>上越市</v>
          </cell>
          <cell r="E4434" t="str">
            <v>2020→2025</v>
          </cell>
          <cell r="F4434">
            <v>0.99931999999999999</v>
          </cell>
          <cell r="G4434">
            <v>0.99955000000000005</v>
          </cell>
          <cell r="H4434">
            <v>0.999</v>
          </cell>
          <cell r="I4434">
            <v>0.99761999999999995</v>
          </cell>
          <cell r="J4434">
            <v>0.99687000000000003</v>
          </cell>
          <cell r="K4434">
            <v>0.99683999999999995</v>
          </cell>
          <cell r="L4434">
            <v>0.99612000000000001</v>
          </cell>
          <cell r="M4434">
            <v>0.99460999999999999</v>
          </cell>
          <cell r="N4434">
            <v>0.99194000000000004</v>
          </cell>
          <cell r="O4434">
            <v>0.98726999999999998</v>
          </cell>
          <cell r="P4434">
            <v>0.98016000000000003</v>
          </cell>
          <cell r="Q4434">
            <v>0.97045000000000003</v>
          </cell>
          <cell r="R4434">
            <v>0.95365</v>
          </cell>
          <cell r="S4434">
            <v>0.92432000000000003</v>
          </cell>
          <cell r="T4434">
            <v>0.8831</v>
          </cell>
          <cell r="U4434">
            <v>0.79798999999999998</v>
          </cell>
          <cell r="V4434">
            <v>0.66413</v>
          </cell>
          <cell r="W4434">
            <v>0.40331</v>
          </cell>
          <cell r="Y4434">
            <v>0.99929999999999997</v>
          </cell>
          <cell r="Z4434">
            <v>0.99970000000000003</v>
          </cell>
          <cell r="AA4434">
            <v>0.99970000000000003</v>
          </cell>
          <cell r="AB4434">
            <v>0.99895999999999996</v>
          </cell>
          <cell r="AC4434">
            <v>0.99861999999999995</v>
          </cell>
          <cell r="AD4434">
            <v>0.99846000000000001</v>
          </cell>
          <cell r="AE4434">
            <v>0.99789000000000005</v>
          </cell>
          <cell r="AF4434">
            <v>0.99702999999999997</v>
          </cell>
          <cell r="AG4434">
            <v>0.99573999999999996</v>
          </cell>
          <cell r="AH4434">
            <v>0.99382999999999999</v>
          </cell>
          <cell r="AI4434">
            <v>0.99090999999999996</v>
          </cell>
          <cell r="AJ4434">
            <v>0.98780999999999997</v>
          </cell>
          <cell r="AK4434">
            <v>0.98197999999999996</v>
          </cell>
          <cell r="AL4434">
            <v>0.97121000000000002</v>
          </cell>
          <cell r="AM4434">
            <v>0.95152000000000003</v>
          </cell>
          <cell r="AN4434">
            <v>0.90585000000000004</v>
          </cell>
          <cell r="AO4434">
            <v>0.82103000000000004</v>
          </cell>
          <cell r="AP4434">
            <v>0.51388</v>
          </cell>
        </row>
        <row r="4435">
          <cell r="D4435" t="str">
            <v>上越市</v>
          </cell>
          <cell r="E4435" t="str">
            <v>2025→2030</v>
          </cell>
          <cell r="F4435">
            <v>0.99939</v>
          </cell>
          <cell r="G4435">
            <v>0.99958999999999998</v>
          </cell>
          <cell r="H4435">
            <v>0.99909000000000003</v>
          </cell>
          <cell r="I4435">
            <v>0.99778</v>
          </cell>
          <cell r="J4435">
            <v>0.99700999999999995</v>
          </cell>
          <cell r="K4435">
            <v>0.99697999999999998</v>
          </cell>
          <cell r="L4435">
            <v>0.99633000000000005</v>
          </cell>
          <cell r="M4435">
            <v>0.99492000000000003</v>
          </cell>
          <cell r="N4435">
            <v>0.99238999999999999</v>
          </cell>
          <cell r="O4435">
            <v>0.98797000000000001</v>
          </cell>
          <cell r="P4435">
            <v>0.98119999999999996</v>
          </cell>
          <cell r="Q4435">
            <v>0.97192999999999996</v>
          </cell>
          <cell r="R4435">
            <v>0.95576000000000005</v>
          </cell>
          <cell r="S4435">
            <v>0.92737999999999998</v>
          </cell>
          <cell r="T4435">
            <v>0.88802000000000003</v>
          </cell>
          <cell r="U4435">
            <v>0.80767</v>
          </cell>
          <cell r="V4435">
            <v>0.6784</v>
          </cell>
          <cell r="W4435">
            <v>0.41471999999999998</v>
          </cell>
          <cell r="Y4435">
            <v>0.99936999999999998</v>
          </cell>
          <cell r="Z4435">
            <v>0.99973000000000001</v>
          </cell>
          <cell r="AA4435">
            <v>0.99970999999999999</v>
          </cell>
          <cell r="AB4435">
            <v>0.99902000000000002</v>
          </cell>
          <cell r="AC4435">
            <v>0.99870000000000003</v>
          </cell>
          <cell r="AD4435">
            <v>0.99853999999999998</v>
          </cell>
          <cell r="AE4435">
            <v>0.99800999999999995</v>
          </cell>
          <cell r="AF4435">
            <v>0.99717999999999996</v>
          </cell>
          <cell r="AG4435">
            <v>0.99595</v>
          </cell>
          <cell r="AH4435">
            <v>0.99412999999999996</v>
          </cell>
          <cell r="AI4435">
            <v>0.99131999999999998</v>
          </cell>
          <cell r="AJ4435">
            <v>0.98836999999999997</v>
          </cell>
          <cell r="AK4435">
            <v>0.98287000000000002</v>
          </cell>
          <cell r="AL4435">
            <v>0.97257000000000005</v>
          </cell>
          <cell r="AM4435">
            <v>0.95418999999999998</v>
          </cell>
          <cell r="AN4435">
            <v>0.91168000000000005</v>
          </cell>
          <cell r="AO4435">
            <v>0.83204999999999996</v>
          </cell>
          <cell r="AP4435">
            <v>0.52585999999999999</v>
          </cell>
        </row>
        <row r="4436">
          <cell r="D4436" t="str">
            <v>上越市</v>
          </cell>
          <cell r="E4436" t="str">
            <v>2030→2035</v>
          </cell>
          <cell r="F4436">
            <v>0.99944999999999995</v>
          </cell>
          <cell r="G4436">
            <v>0.99963000000000002</v>
          </cell>
          <cell r="H4436">
            <v>0.99917</v>
          </cell>
          <cell r="I4436">
            <v>0.99792000000000003</v>
          </cell>
          <cell r="J4436">
            <v>0.99714000000000003</v>
          </cell>
          <cell r="K4436">
            <v>0.99711000000000005</v>
          </cell>
          <cell r="L4436">
            <v>0.99651999999999996</v>
          </cell>
          <cell r="M4436">
            <v>0.99519000000000002</v>
          </cell>
          <cell r="N4436">
            <v>0.99278999999999995</v>
          </cell>
          <cell r="O4436">
            <v>0.98858999999999997</v>
          </cell>
          <cell r="P4436">
            <v>0.98211999999999999</v>
          </cell>
          <cell r="Q4436">
            <v>0.97321000000000002</v>
          </cell>
          <cell r="R4436">
            <v>0.95760000000000001</v>
          </cell>
          <cell r="S4436">
            <v>0.93008000000000002</v>
          </cell>
          <cell r="T4436">
            <v>0.89227000000000001</v>
          </cell>
          <cell r="U4436">
            <v>0.81616999999999995</v>
          </cell>
          <cell r="V4436">
            <v>0.69135000000000002</v>
          </cell>
          <cell r="W4436">
            <v>0.42523</v>
          </cell>
          <cell r="Y4436">
            <v>0.99941999999999998</v>
          </cell>
          <cell r="Z4436">
            <v>0.99975000000000003</v>
          </cell>
          <cell r="AA4436">
            <v>0.99972000000000005</v>
          </cell>
          <cell r="AB4436">
            <v>0.99907999999999997</v>
          </cell>
          <cell r="AC4436">
            <v>0.99878</v>
          </cell>
          <cell r="AD4436">
            <v>0.99861</v>
          </cell>
          <cell r="AE4436">
            <v>0.99811000000000005</v>
          </cell>
          <cell r="AF4436">
            <v>0.99731999999999998</v>
          </cell>
          <cell r="AG4436">
            <v>0.99614000000000003</v>
          </cell>
          <cell r="AH4436">
            <v>0.99438000000000004</v>
          </cell>
          <cell r="AI4436">
            <v>0.99168000000000001</v>
          </cell>
          <cell r="AJ4436">
            <v>0.98882999999999999</v>
          </cell>
          <cell r="AK4436">
            <v>0.98362000000000005</v>
          </cell>
          <cell r="AL4436">
            <v>0.97372000000000003</v>
          </cell>
          <cell r="AM4436">
            <v>0.95638999999999996</v>
          </cell>
          <cell r="AN4436">
            <v>0.91659000000000002</v>
          </cell>
          <cell r="AO4436">
            <v>0.84158999999999995</v>
          </cell>
          <cell r="AP4436">
            <v>0.53666999999999998</v>
          </cell>
        </row>
        <row r="4437">
          <cell r="D4437" t="str">
            <v>上越市</v>
          </cell>
          <cell r="E4437" t="str">
            <v>2035→2040</v>
          </cell>
          <cell r="F4437">
            <v>0.99950000000000006</v>
          </cell>
          <cell r="G4437">
            <v>0.99965999999999999</v>
          </cell>
          <cell r="H4437">
            <v>0.99924000000000002</v>
          </cell>
          <cell r="I4437">
            <v>0.99804999999999999</v>
          </cell>
          <cell r="J4437">
            <v>0.99726000000000004</v>
          </cell>
          <cell r="K4437">
            <v>0.99724000000000002</v>
          </cell>
          <cell r="L4437">
            <v>0.99668999999999996</v>
          </cell>
          <cell r="M4437">
            <v>0.99543999999999999</v>
          </cell>
          <cell r="N4437">
            <v>0.99314999999999998</v>
          </cell>
          <cell r="O4437">
            <v>0.98914000000000002</v>
          </cell>
          <cell r="P4437">
            <v>0.98294000000000004</v>
          </cell>
          <cell r="Q4437">
            <v>0.97431999999999996</v>
          </cell>
          <cell r="R4437">
            <v>0.95921999999999996</v>
          </cell>
          <cell r="S4437">
            <v>0.93247999999999998</v>
          </cell>
          <cell r="T4437">
            <v>0.89597000000000004</v>
          </cell>
          <cell r="U4437">
            <v>0.82367000000000001</v>
          </cell>
          <cell r="V4437">
            <v>0.70311999999999997</v>
          </cell>
          <cell r="W4437">
            <v>0.43491000000000002</v>
          </cell>
          <cell r="Y4437">
            <v>0.99946999999999997</v>
          </cell>
          <cell r="Z4437">
            <v>0.99977000000000005</v>
          </cell>
          <cell r="AA4437">
            <v>0.99973000000000001</v>
          </cell>
          <cell r="AB4437">
            <v>0.99912999999999996</v>
          </cell>
          <cell r="AC4437">
            <v>0.99883999999999995</v>
          </cell>
          <cell r="AD4437">
            <v>0.99868000000000001</v>
          </cell>
          <cell r="AE4437">
            <v>0.99819999999999998</v>
          </cell>
          <cell r="AF4437">
            <v>0.99743999999999999</v>
          </cell>
          <cell r="AG4437">
            <v>0.99629999999999996</v>
          </cell>
          <cell r="AH4437">
            <v>0.99460000000000004</v>
          </cell>
          <cell r="AI4437">
            <v>0.99199000000000004</v>
          </cell>
          <cell r="AJ4437">
            <v>0.98921999999999999</v>
          </cell>
          <cell r="AK4437">
            <v>0.98426000000000002</v>
          </cell>
          <cell r="AL4437">
            <v>0.97468999999999995</v>
          </cell>
          <cell r="AM4437">
            <v>0.95821000000000001</v>
          </cell>
          <cell r="AN4437">
            <v>0.92073000000000005</v>
          </cell>
          <cell r="AO4437">
            <v>0.84987999999999997</v>
          </cell>
          <cell r="AP4437">
            <v>0.54645999999999995</v>
          </cell>
        </row>
        <row r="4438">
          <cell r="D4438" t="str">
            <v>上越市</v>
          </cell>
          <cell r="E4438" t="str">
            <v>2040→2045</v>
          </cell>
          <cell r="F4438">
            <v>0.99953999999999998</v>
          </cell>
          <cell r="G4438">
            <v>0.99970000000000003</v>
          </cell>
          <cell r="H4438">
            <v>0.99929999999999997</v>
          </cell>
          <cell r="I4438">
            <v>0.99817</v>
          </cell>
          <cell r="J4438">
            <v>0.99736999999999998</v>
          </cell>
          <cell r="K4438">
            <v>0.99734999999999996</v>
          </cell>
          <cell r="L4438">
            <v>0.99685000000000001</v>
          </cell>
          <cell r="M4438">
            <v>0.99567000000000005</v>
          </cell>
          <cell r="N4438">
            <v>0.99346999999999996</v>
          </cell>
          <cell r="O4438">
            <v>0.98963999999999996</v>
          </cell>
          <cell r="P4438">
            <v>0.98368</v>
          </cell>
          <cell r="Q4438">
            <v>0.97529999999999994</v>
          </cell>
          <cell r="R4438">
            <v>0.96064000000000005</v>
          </cell>
          <cell r="S4438">
            <v>0.93462000000000001</v>
          </cell>
          <cell r="T4438">
            <v>0.89922999999999997</v>
          </cell>
          <cell r="U4438">
            <v>0.83031999999999995</v>
          </cell>
          <cell r="V4438">
            <v>0.71384999999999998</v>
          </cell>
          <cell r="W4438">
            <v>0.44385999999999998</v>
          </cell>
          <cell r="Y4438">
            <v>0.99951999999999996</v>
          </cell>
          <cell r="Z4438">
            <v>0.99978999999999996</v>
          </cell>
          <cell r="AA4438">
            <v>0.99973999999999996</v>
          </cell>
          <cell r="AB4438">
            <v>0.99917999999999996</v>
          </cell>
          <cell r="AC4438">
            <v>0.99890999999999996</v>
          </cell>
          <cell r="AD4438">
            <v>0.99873000000000001</v>
          </cell>
          <cell r="AE4438">
            <v>0.99827999999999995</v>
          </cell>
          <cell r="AF4438">
            <v>0.99755000000000005</v>
          </cell>
          <cell r="AG4438">
            <v>0.99643999999999999</v>
          </cell>
          <cell r="AH4438">
            <v>0.99478</v>
          </cell>
          <cell r="AI4438">
            <v>0.99226000000000003</v>
          </cell>
          <cell r="AJ4438">
            <v>0.98953999999999998</v>
          </cell>
          <cell r="AK4438">
            <v>0.98479000000000005</v>
          </cell>
          <cell r="AL4438">
            <v>0.97552000000000005</v>
          </cell>
          <cell r="AM4438">
            <v>0.95970999999999995</v>
          </cell>
          <cell r="AN4438">
            <v>0.92425999999999997</v>
          </cell>
          <cell r="AO4438">
            <v>0.85709999999999997</v>
          </cell>
          <cell r="AP4438">
            <v>0.55533999999999994</v>
          </cell>
        </row>
        <row r="4439">
          <cell r="D4439" t="str">
            <v>阿賀野市</v>
          </cell>
          <cell r="E4439" t="str">
            <v>2015→2020</v>
          </cell>
          <cell r="F4439">
            <v>0.99922999999999995</v>
          </cell>
          <cell r="G4439">
            <v>0.99951000000000001</v>
          </cell>
          <cell r="H4439">
            <v>0.99890999999999996</v>
          </cell>
          <cell r="I4439">
            <v>0.99744999999999995</v>
          </cell>
          <cell r="J4439">
            <v>0.99673</v>
          </cell>
          <cell r="K4439">
            <v>0.99668999999999996</v>
          </cell>
          <cell r="L4439">
            <v>0.99589000000000005</v>
          </cell>
          <cell r="M4439">
            <v>0.99428000000000005</v>
          </cell>
          <cell r="N4439">
            <v>0.99145000000000005</v>
          </cell>
          <cell r="O4439">
            <v>0.98650000000000004</v>
          </cell>
          <cell r="P4439">
            <v>0.97901000000000005</v>
          </cell>
          <cell r="Q4439">
            <v>0.96877000000000002</v>
          </cell>
          <cell r="R4439">
            <v>0.94757999999999998</v>
          </cell>
          <cell r="S4439">
            <v>0.92110999999999998</v>
          </cell>
          <cell r="T4439">
            <v>0.87670999999999999</v>
          </cell>
          <cell r="U4439">
            <v>0.78505999999999998</v>
          </cell>
          <cell r="V4439">
            <v>0.62307999999999997</v>
          </cell>
          <cell r="W4439">
            <v>0.37586000000000003</v>
          </cell>
          <cell r="Y4439">
            <v>0.99922999999999995</v>
          </cell>
          <cell r="Z4439">
            <v>0.99966999999999995</v>
          </cell>
          <cell r="AA4439">
            <v>0.99968000000000001</v>
          </cell>
          <cell r="AB4439">
            <v>0.99888999999999994</v>
          </cell>
          <cell r="AC4439">
            <v>0.99853999999999998</v>
          </cell>
          <cell r="AD4439">
            <v>0.99836999999999998</v>
          </cell>
          <cell r="AE4439">
            <v>0.99777000000000005</v>
          </cell>
          <cell r="AF4439">
            <v>0.99685999999999997</v>
          </cell>
          <cell r="AG4439">
            <v>0.99548999999999999</v>
          </cell>
          <cell r="AH4439">
            <v>0.99348999999999998</v>
          </cell>
          <cell r="AI4439">
            <v>0.99043000000000003</v>
          </cell>
          <cell r="AJ4439">
            <v>0.98716000000000004</v>
          </cell>
          <cell r="AK4439">
            <v>0.98029999999999995</v>
          </cell>
          <cell r="AL4439">
            <v>0.96901000000000004</v>
          </cell>
          <cell r="AM4439">
            <v>0.94820000000000004</v>
          </cell>
          <cell r="AN4439">
            <v>0.90083000000000002</v>
          </cell>
          <cell r="AO4439">
            <v>0.80108999999999997</v>
          </cell>
          <cell r="AP4439">
            <v>0.48307</v>
          </cell>
        </row>
        <row r="4440">
          <cell r="D4440" t="str">
            <v>阿賀野市</v>
          </cell>
          <cell r="E4440" t="str">
            <v>2020→2025</v>
          </cell>
          <cell r="F4440">
            <v>0.99931999999999999</v>
          </cell>
          <cell r="G4440">
            <v>0.99955000000000005</v>
          </cell>
          <cell r="H4440">
            <v>0.999</v>
          </cell>
          <cell r="I4440">
            <v>0.99761999999999995</v>
          </cell>
          <cell r="J4440">
            <v>0.99687000000000003</v>
          </cell>
          <cell r="K4440">
            <v>0.99683999999999995</v>
          </cell>
          <cell r="L4440">
            <v>0.99612000000000001</v>
          </cell>
          <cell r="M4440">
            <v>0.99460999999999999</v>
          </cell>
          <cell r="N4440">
            <v>0.99194000000000004</v>
          </cell>
          <cell r="O4440">
            <v>0.98726999999999998</v>
          </cell>
          <cell r="P4440">
            <v>0.98016000000000003</v>
          </cell>
          <cell r="Q4440">
            <v>0.97045000000000003</v>
          </cell>
          <cell r="R4440">
            <v>0.94996000000000003</v>
          </cell>
          <cell r="S4440">
            <v>0.92462</v>
          </cell>
          <cell r="T4440">
            <v>0.88261999999999996</v>
          </cell>
          <cell r="U4440">
            <v>0.79608999999999996</v>
          </cell>
          <cell r="V4440">
            <v>0.63827999999999996</v>
          </cell>
          <cell r="W4440">
            <v>0.38805000000000001</v>
          </cell>
          <cell r="Y4440">
            <v>0.99929999999999997</v>
          </cell>
          <cell r="Z4440">
            <v>0.99970000000000003</v>
          </cell>
          <cell r="AA4440">
            <v>0.99970000000000003</v>
          </cell>
          <cell r="AB4440">
            <v>0.99895999999999996</v>
          </cell>
          <cell r="AC4440">
            <v>0.99861999999999995</v>
          </cell>
          <cell r="AD4440">
            <v>0.99846000000000001</v>
          </cell>
          <cell r="AE4440">
            <v>0.99789000000000005</v>
          </cell>
          <cell r="AF4440">
            <v>0.99702999999999997</v>
          </cell>
          <cell r="AG4440">
            <v>0.99573999999999996</v>
          </cell>
          <cell r="AH4440">
            <v>0.99382999999999999</v>
          </cell>
          <cell r="AI4440">
            <v>0.99090999999999996</v>
          </cell>
          <cell r="AJ4440">
            <v>0.98780999999999997</v>
          </cell>
          <cell r="AK4440">
            <v>0.98134999999999994</v>
          </cell>
          <cell r="AL4440">
            <v>0.97063999999999995</v>
          </cell>
          <cell r="AM4440">
            <v>0.95147999999999999</v>
          </cell>
          <cell r="AN4440">
            <v>0.90776000000000001</v>
          </cell>
          <cell r="AO4440">
            <v>0.81386999999999998</v>
          </cell>
          <cell r="AP4440">
            <v>0.49607000000000001</v>
          </cell>
        </row>
        <row r="4441">
          <cell r="D4441" t="str">
            <v>阿賀野市</v>
          </cell>
          <cell r="E4441" t="str">
            <v>2025→2030</v>
          </cell>
          <cell r="F4441">
            <v>0.99939</v>
          </cell>
          <cell r="G4441">
            <v>0.99958999999999998</v>
          </cell>
          <cell r="H4441">
            <v>0.99909000000000003</v>
          </cell>
          <cell r="I4441">
            <v>0.99778</v>
          </cell>
          <cell r="J4441">
            <v>0.99700999999999995</v>
          </cell>
          <cell r="K4441">
            <v>0.99697999999999998</v>
          </cell>
          <cell r="L4441">
            <v>0.99633000000000005</v>
          </cell>
          <cell r="M4441">
            <v>0.99492000000000003</v>
          </cell>
          <cell r="N4441">
            <v>0.99238999999999999</v>
          </cell>
          <cell r="O4441">
            <v>0.98797000000000001</v>
          </cell>
          <cell r="P4441">
            <v>0.98119999999999996</v>
          </cell>
          <cell r="Q4441">
            <v>0.97192999999999996</v>
          </cell>
          <cell r="R4441">
            <v>0.95206000000000002</v>
          </cell>
          <cell r="S4441">
            <v>0.92766999999999999</v>
          </cell>
          <cell r="T4441">
            <v>0.88754999999999995</v>
          </cell>
          <cell r="U4441">
            <v>0.80574000000000001</v>
          </cell>
          <cell r="V4441">
            <v>0.65200000000000002</v>
          </cell>
          <cell r="W4441">
            <v>0.39904000000000001</v>
          </cell>
          <cell r="Y4441">
            <v>0.99936999999999998</v>
          </cell>
          <cell r="Z4441">
            <v>0.99973000000000001</v>
          </cell>
          <cell r="AA4441">
            <v>0.99970999999999999</v>
          </cell>
          <cell r="AB4441">
            <v>0.99902000000000002</v>
          </cell>
          <cell r="AC4441">
            <v>0.99870000000000003</v>
          </cell>
          <cell r="AD4441">
            <v>0.99853999999999998</v>
          </cell>
          <cell r="AE4441">
            <v>0.99800999999999995</v>
          </cell>
          <cell r="AF4441">
            <v>0.99717999999999996</v>
          </cell>
          <cell r="AG4441">
            <v>0.99595</v>
          </cell>
          <cell r="AH4441">
            <v>0.99412999999999996</v>
          </cell>
          <cell r="AI4441">
            <v>0.99131999999999998</v>
          </cell>
          <cell r="AJ4441">
            <v>0.98836999999999997</v>
          </cell>
          <cell r="AK4441">
            <v>0.98224</v>
          </cell>
          <cell r="AL4441">
            <v>0.97201000000000004</v>
          </cell>
          <cell r="AM4441">
            <v>0.95415000000000005</v>
          </cell>
          <cell r="AN4441">
            <v>0.91359999999999997</v>
          </cell>
          <cell r="AO4441">
            <v>0.82479000000000002</v>
          </cell>
          <cell r="AP4441">
            <v>0.50763000000000003</v>
          </cell>
        </row>
        <row r="4442">
          <cell r="D4442" t="str">
            <v>阿賀野市</v>
          </cell>
          <cell r="E4442" t="str">
            <v>2030→2035</v>
          </cell>
          <cell r="F4442">
            <v>0.99944999999999995</v>
          </cell>
          <cell r="G4442">
            <v>0.99963000000000002</v>
          </cell>
          <cell r="H4442">
            <v>0.99917</v>
          </cell>
          <cell r="I4442">
            <v>0.99792000000000003</v>
          </cell>
          <cell r="J4442">
            <v>0.99714000000000003</v>
          </cell>
          <cell r="K4442">
            <v>0.99711000000000005</v>
          </cell>
          <cell r="L4442">
            <v>0.99651999999999996</v>
          </cell>
          <cell r="M4442">
            <v>0.99519000000000002</v>
          </cell>
          <cell r="N4442">
            <v>0.99278999999999995</v>
          </cell>
          <cell r="O4442">
            <v>0.98858999999999997</v>
          </cell>
          <cell r="P4442">
            <v>0.98211999999999999</v>
          </cell>
          <cell r="Q4442">
            <v>0.97321000000000002</v>
          </cell>
          <cell r="R4442">
            <v>0.95389000000000002</v>
          </cell>
          <cell r="S4442">
            <v>0.93037000000000003</v>
          </cell>
          <cell r="T4442">
            <v>0.89180000000000004</v>
          </cell>
          <cell r="U4442">
            <v>0.81423000000000001</v>
          </cell>
          <cell r="V4442">
            <v>0.66444000000000003</v>
          </cell>
          <cell r="W4442">
            <v>0.40914</v>
          </cell>
          <cell r="Y4442">
            <v>0.99941999999999998</v>
          </cell>
          <cell r="Z4442">
            <v>0.99975000000000003</v>
          </cell>
          <cell r="AA4442">
            <v>0.99972000000000005</v>
          </cell>
          <cell r="AB4442">
            <v>0.99907999999999997</v>
          </cell>
          <cell r="AC4442">
            <v>0.99878</v>
          </cell>
          <cell r="AD4442">
            <v>0.99861</v>
          </cell>
          <cell r="AE4442">
            <v>0.99811000000000005</v>
          </cell>
          <cell r="AF4442">
            <v>0.99731999999999998</v>
          </cell>
          <cell r="AG4442">
            <v>0.99614000000000003</v>
          </cell>
          <cell r="AH4442">
            <v>0.99438000000000004</v>
          </cell>
          <cell r="AI4442">
            <v>0.99168000000000001</v>
          </cell>
          <cell r="AJ4442">
            <v>0.98882999999999999</v>
          </cell>
          <cell r="AK4442">
            <v>0.98299000000000003</v>
          </cell>
          <cell r="AL4442">
            <v>0.97314999999999996</v>
          </cell>
          <cell r="AM4442">
            <v>0.95635000000000003</v>
          </cell>
          <cell r="AN4442">
            <v>0.91852</v>
          </cell>
          <cell r="AO4442">
            <v>0.83425000000000005</v>
          </cell>
          <cell r="AP4442">
            <v>0.51805999999999996</v>
          </cell>
        </row>
        <row r="4443">
          <cell r="D4443" t="str">
            <v>阿賀野市</v>
          </cell>
          <cell r="E4443" t="str">
            <v>2035→2040</v>
          </cell>
          <cell r="F4443">
            <v>0.99950000000000006</v>
          </cell>
          <cell r="G4443">
            <v>0.99965999999999999</v>
          </cell>
          <cell r="H4443">
            <v>0.99924000000000002</v>
          </cell>
          <cell r="I4443">
            <v>0.99804999999999999</v>
          </cell>
          <cell r="J4443">
            <v>0.99726000000000004</v>
          </cell>
          <cell r="K4443">
            <v>0.99724000000000002</v>
          </cell>
          <cell r="L4443">
            <v>0.99668999999999996</v>
          </cell>
          <cell r="M4443">
            <v>0.99543999999999999</v>
          </cell>
          <cell r="N4443">
            <v>0.99314999999999998</v>
          </cell>
          <cell r="O4443">
            <v>0.98914000000000002</v>
          </cell>
          <cell r="P4443">
            <v>0.98294000000000004</v>
          </cell>
          <cell r="Q4443">
            <v>0.97431999999999996</v>
          </cell>
          <cell r="R4443">
            <v>0.95550000000000002</v>
          </cell>
          <cell r="S4443">
            <v>0.93278000000000005</v>
          </cell>
          <cell r="T4443">
            <v>0.89549999999999996</v>
          </cell>
          <cell r="U4443">
            <v>0.82171000000000005</v>
          </cell>
          <cell r="V4443">
            <v>0.67574999999999996</v>
          </cell>
          <cell r="W4443">
            <v>0.41846</v>
          </cell>
          <cell r="Y4443">
            <v>0.99946999999999997</v>
          </cell>
          <cell r="Z4443">
            <v>0.99977000000000005</v>
          </cell>
          <cell r="AA4443">
            <v>0.99973000000000001</v>
          </cell>
          <cell r="AB4443">
            <v>0.99912999999999996</v>
          </cell>
          <cell r="AC4443">
            <v>0.99883999999999995</v>
          </cell>
          <cell r="AD4443">
            <v>0.99868000000000001</v>
          </cell>
          <cell r="AE4443">
            <v>0.99819999999999998</v>
          </cell>
          <cell r="AF4443">
            <v>0.99743999999999999</v>
          </cell>
          <cell r="AG4443">
            <v>0.99629999999999996</v>
          </cell>
          <cell r="AH4443">
            <v>0.99460000000000004</v>
          </cell>
          <cell r="AI4443">
            <v>0.99199000000000004</v>
          </cell>
          <cell r="AJ4443">
            <v>0.98921999999999999</v>
          </cell>
          <cell r="AK4443">
            <v>0.98363</v>
          </cell>
          <cell r="AL4443">
            <v>0.97411999999999999</v>
          </cell>
          <cell r="AM4443">
            <v>0.95816999999999997</v>
          </cell>
          <cell r="AN4443">
            <v>0.92266999999999999</v>
          </cell>
          <cell r="AO4443">
            <v>0.84245999999999999</v>
          </cell>
          <cell r="AP4443">
            <v>0.52751000000000003</v>
          </cell>
        </row>
        <row r="4444">
          <cell r="D4444" t="str">
            <v>阿賀野市</v>
          </cell>
          <cell r="E4444" t="str">
            <v>2040→2045</v>
          </cell>
          <cell r="F4444">
            <v>0.99953999999999998</v>
          </cell>
          <cell r="G4444">
            <v>0.99970000000000003</v>
          </cell>
          <cell r="H4444">
            <v>0.99929999999999997</v>
          </cell>
          <cell r="I4444">
            <v>0.99817</v>
          </cell>
          <cell r="J4444">
            <v>0.99736999999999998</v>
          </cell>
          <cell r="K4444">
            <v>0.99734999999999996</v>
          </cell>
          <cell r="L4444">
            <v>0.99685000000000001</v>
          </cell>
          <cell r="M4444">
            <v>0.99567000000000005</v>
          </cell>
          <cell r="N4444">
            <v>0.99346999999999996</v>
          </cell>
          <cell r="O4444">
            <v>0.98963999999999996</v>
          </cell>
          <cell r="P4444">
            <v>0.98368</v>
          </cell>
          <cell r="Q4444">
            <v>0.97529999999999994</v>
          </cell>
          <cell r="R4444">
            <v>0.95691999999999999</v>
          </cell>
          <cell r="S4444">
            <v>0.93491999999999997</v>
          </cell>
          <cell r="T4444">
            <v>0.89873999999999998</v>
          </cell>
          <cell r="U4444">
            <v>0.82833999999999997</v>
          </cell>
          <cell r="V4444">
            <v>0.68606999999999996</v>
          </cell>
          <cell r="W4444">
            <v>0.42707000000000001</v>
          </cell>
          <cell r="Y4444">
            <v>0.99951999999999996</v>
          </cell>
          <cell r="Z4444">
            <v>0.99978999999999996</v>
          </cell>
          <cell r="AA4444">
            <v>0.99973999999999996</v>
          </cell>
          <cell r="AB4444">
            <v>0.99917999999999996</v>
          </cell>
          <cell r="AC4444">
            <v>0.99890999999999996</v>
          </cell>
          <cell r="AD4444">
            <v>0.99873000000000001</v>
          </cell>
          <cell r="AE4444">
            <v>0.99827999999999995</v>
          </cell>
          <cell r="AF4444">
            <v>0.99755000000000005</v>
          </cell>
          <cell r="AG4444">
            <v>0.99643999999999999</v>
          </cell>
          <cell r="AH4444">
            <v>0.99478</v>
          </cell>
          <cell r="AI4444">
            <v>0.99226000000000003</v>
          </cell>
          <cell r="AJ4444">
            <v>0.98953999999999998</v>
          </cell>
          <cell r="AK4444">
            <v>0.98416000000000003</v>
          </cell>
          <cell r="AL4444">
            <v>0.97494999999999998</v>
          </cell>
          <cell r="AM4444">
            <v>0.95967999999999998</v>
          </cell>
          <cell r="AN4444">
            <v>0.92620000000000002</v>
          </cell>
          <cell r="AO4444">
            <v>0.84963</v>
          </cell>
          <cell r="AP4444">
            <v>0.53608999999999996</v>
          </cell>
        </row>
        <row r="4445">
          <cell r="D4445" t="str">
            <v>佐渡市</v>
          </cell>
          <cell r="E4445" t="str">
            <v>2015→2020</v>
          </cell>
          <cell r="F4445">
            <v>0.99922999999999995</v>
          </cell>
          <cell r="G4445">
            <v>0.99951000000000001</v>
          </cell>
          <cell r="H4445">
            <v>0.99890999999999996</v>
          </cell>
          <cell r="I4445">
            <v>0.99744999999999995</v>
          </cell>
          <cell r="J4445">
            <v>0.99673</v>
          </cell>
          <cell r="K4445">
            <v>0.99668999999999996</v>
          </cell>
          <cell r="L4445">
            <v>0.99589000000000005</v>
          </cell>
          <cell r="M4445">
            <v>0.99428000000000005</v>
          </cell>
          <cell r="N4445">
            <v>0.99145000000000005</v>
          </cell>
          <cell r="O4445">
            <v>0.98650000000000004</v>
          </cell>
          <cell r="P4445">
            <v>0.97901000000000005</v>
          </cell>
          <cell r="Q4445">
            <v>0.96877000000000002</v>
          </cell>
          <cell r="R4445">
            <v>0.94943999999999995</v>
          </cell>
          <cell r="S4445">
            <v>0.92313999999999996</v>
          </cell>
          <cell r="T4445">
            <v>0.88360000000000005</v>
          </cell>
          <cell r="U4445">
            <v>0.79757</v>
          </cell>
          <cell r="V4445">
            <v>0.65925999999999996</v>
          </cell>
          <cell r="W4445">
            <v>0.38724999999999998</v>
          </cell>
          <cell r="Y4445">
            <v>0.99922999999999995</v>
          </cell>
          <cell r="Z4445">
            <v>0.99966999999999995</v>
          </cell>
          <cell r="AA4445">
            <v>0.99968000000000001</v>
          </cell>
          <cell r="AB4445">
            <v>0.99888999999999994</v>
          </cell>
          <cell r="AC4445">
            <v>0.99853999999999998</v>
          </cell>
          <cell r="AD4445">
            <v>0.99836999999999998</v>
          </cell>
          <cell r="AE4445">
            <v>0.99777000000000005</v>
          </cell>
          <cell r="AF4445">
            <v>0.99685999999999997</v>
          </cell>
          <cell r="AG4445">
            <v>0.99548999999999999</v>
          </cell>
          <cell r="AH4445">
            <v>0.99348999999999998</v>
          </cell>
          <cell r="AI4445">
            <v>0.99043000000000003</v>
          </cell>
          <cell r="AJ4445">
            <v>0.98716000000000004</v>
          </cell>
          <cell r="AK4445">
            <v>0.97692000000000001</v>
          </cell>
          <cell r="AL4445">
            <v>0.96801000000000004</v>
          </cell>
          <cell r="AM4445">
            <v>0.94720000000000004</v>
          </cell>
          <cell r="AN4445">
            <v>0.90180000000000005</v>
          </cell>
          <cell r="AO4445">
            <v>0.80489999999999995</v>
          </cell>
          <cell r="AP4445">
            <v>0.47667999999999999</v>
          </cell>
        </row>
        <row r="4446">
          <cell r="D4446" t="str">
            <v>佐渡市</v>
          </cell>
          <cell r="E4446" t="str">
            <v>2020→2025</v>
          </cell>
          <cell r="F4446">
            <v>0.99931999999999999</v>
          </cell>
          <cell r="G4446">
            <v>0.99955000000000005</v>
          </cell>
          <cell r="H4446">
            <v>0.999</v>
          </cell>
          <cell r="I4446">
            <v>0.99761999999999995</v>
          </cell>
          <cell r="J4446">
            <v>0.99687000000000003</v>
          </cell>
          <cell r="K4446">
            <v>0.99683999999999995</v>
          </cell>
          <cell r="L4446">
            <v>0.99612000000000001</v>
          </cell>
          <cell r="M4446">
            <v>0.99460999999999999</v>
          </cell>
          <cell r="N4446">
            <v>0.99194000000000004</v>
          </cell>
          <cell r="O4446">
            <v>0.98726999999999998</v>
          </cell>
          <cell r="P4446">
            <v>0.98016000000000003</v>
          </cell>
          <cell r="Q4446">
            <v>0.97045000000000003</v>
          </cell>
          <cell r="R4446">
            <v>0.95182</v>
          </cell>
          <cell r="S4446">
            <v>0.92664999999999997</v>
          </cell>
          <cell r="T4446">
            <v>0.88954999999999995</v>
          </cell>
          <cell r="U4446">
            <v>0.80876999999999999</v>
          </cell>
          <cell r="V4446">
            <v>0.67535000000000001</v>
          </cell>
          <cell r="W4446">
            <v>0.39981</v>
          </cell>
          <cell r="Y4446">
            <v>0.99929999999999997</v>
          </cell>
          <cell r="Z4446">
            <v>0.99970000000000003</v>
          </cell>
          <cell r="AA4446">
            <v>0.99970000000000003</v>
          </cell>
          <cell r="AB4446">
            <v>0.99895999999999996</v>
          </cell>
          <cell r="AC4446">
            <v>0.99861999999999995</v>
          </cell>
          <cell r="AD4446">
            <v>0.99846000000000001</v>
          </cell>
          <cell r="AE4446">
            <v>0.99789000000000005</v>
          </cell>
          <cell r="AF4446">
            <v>0.99702999999999997</v>
          </cell>
          <cell r="AG4446">
            <v>0.99573999999999996</v>
          </cell>
          <cell r="AH4446">
            <v>0.99382999999999999</v>
          </cell>
          <cell r="AI4446">
            <v>0.99090999999999996</v>
          </cell>
          <cell r="AJ4446">
            <v>0.98780999999999997</v>
          </cell>
          <cell r="AK4446">
            <v>0.97796000000000005</v>
          </cell>
          <cell r="AL4446">
            <v>0.96963999999999995</v>
          </cell>
          <cell r="AM4446">
            <v>0.95047999999999999</v>
          </cell>
          <cell r="AN4446">
            <v>0.90873999999999999</v>
          </cell>
          <cell r="AO4446">
            <v>0.81774000000000002</v>
          </cell>
          <cell r="AP4446">
            <v>0.48949999999999999</v>
          </cell>
        </row>
        <row r="4447">
          <cell r="D4447" t="str">
            <v>佐渡市</v>
          </cell>
          <cell r="E4447" t="str">
            <v>2025→2030</v>
          </cell>
          <cell r="F4447">
            <v>0.99939</v>
          </cell>
          <cell r="G4447">
            <v>0.99958999999999998</v>
          </cell>
          <cell r="H4447">
            <v>0.99909000000000003</v>
          </cell>
          <cell r="I4447">
            <v>0.99778</v>
          </cell>
          <cell r="J4447">
            <v>0.99700999999999995</v>
          </cell>
          <cell r="K4447">
            <v>0.99697999999999998</v>
          </cell>
          <cell r="L4447">
            <v>0.99633000000000005</v>
          </cell>
          <cell r="M4447">
            <v>0.99492000000000003</v>
          </cell>
          <cell r="N4447">
            <v>0.99238999999999999</v>
          </cell>
          <cell r="O4447">
            <v>0.98797000000000001</v>
          </cell>
          <cell r="P4447">
            <v>0.98119999999999996</v>
          </cell>
          <cell r="Q4447">
            <v>0.97192999999999996</v>
          </cell>
          <cell r="R4447">
            <v>0.95391999999999999</v>
          </cell>
          <cell r="S4447">
            <v>0.92971000000000004</v>
          </cell>
          <cell r="T4447">
            <v>0.89451999999999998</v>
          </cell>
          <cell r="U4447">
            <v>0.81859000000000004</v>
          </cell>
          <cell r="V4447">
            <v>0.68986000000000003</v>
          </cell>
          <cell r="W4447">
            <v>0.41111999999999999</v>
          </cell>
          <cell r="Y4447">
            <v>0.99936999999999998</v>
          </cell>
          <cell r="Z4447">
            <v>0.99973000000000001</v>
          </cell>
          <cell r="AA4447">
            <v>0.99970999999999999</v>
          </cell>
          <cell r="AB4447">
            <v>0.99902000000000002</v>
          </cell>
          <cell r="AC4447">
            <v>0.99870000000000003</v>
          </cell>
          <cell r="AD4447">
            <v>0.99853999999999998</v>
          </cell>
          <cell r="AE4447">
            <v>0.99800999999999995</v>
          </cell>
          <cell r="AF4447">
            <v>0.99717999999999996</v>
          </cell>
          <cell r="AG4447">
            <v>0.99595</v>
          </cell>
          <cell r="AH4447">
            <v>0.99412999999999996</v>
          </cell>
          <cell r="AI4447">
            <v>0.99131999999999998</v>
          </cell>
          <cell r="AJ4447">
            <v>0.98836999999999997</v>
          </cell>
          <cell r="AK4447">
            <v>0.97885</v>
          </cell>
          <cell r="AL4447">
            <v>0.97101000000000004</v>
          </cell>
          <cell r="AM4447">
            <v>0.95315000000000005</v>
          </cell>
          <cell r="AN4447">
            <v>0.91457999999999995</v>
          </cell>
          <cell r="AO4447">
            <v>0.82872000000000001</v>
          </cell>
          <cell r="AP4447">
            <v>0.50090999999999997</v>
          </cell>
        </row>
        <row r="4448">
          <cell r="D4448" t="str">
            <v>佐渡市</v>
          </cell>
          <cell r="E4448" t="str">
            <v>2030→2035</v>
          </cell>
          <cell r="F4448">
            <v>0.99944999999999995</v>
          </cell>
          <cell r="G4448">
            <v>0.99963000000000002</v>
          </cell>
          <cell r="H4448">
            <v>0.99917</v>
          </cell>
          <cell r="I4448">
            <v>0.99792000000000003</v>
          </cell>
          <cell r="J4448">
            <v>0.99714000000000003</v>
          </cell>
          <cell r="K4448">
            <v>0.99711000000000005</v>
          </cell>
          <cell r="L4448">
            <v>0.99651999999999996</v>
          </cell>
          <cell r="M4448">
            <v>0.99519000000000002</v>
          </cell>
          <cell r="N4448">
            <v>0.99278999999999995</v>
          </cell>
          <cell r="O4448">
            <v>0.98858999999999997</v>
          </cell>
          <cell r="P4448">
            <v>0.98211999999999999</v>
          </cell>
          <cell r="Q4448">
            <v>0.97321000000000002</v>
          </cell>
          <cell r="R4448">
            <v>0.95576000000000005</v>
          </cell>
          <cell r="S4448">
            <v>0.93242000000000003</v>
          </cell>
          <cell r="T4448">
            <v>0.89880000000000004</v>
          </cell>
          <cell r="U4448">
            <v>0.82720000000000005</v>
          </cell>
          <cell r="V4448">
            <v>0.70301999999999998</v>
          </cell>
          <cell r="W4448">
            <v>0.42154000000000003</v>
          </cell>
          <cell r="Y4448">
            <v>0.99941999999999998</v>
          </cell>
          <cell r="Z4448">
            <v>0.99975000000000003</v>
          </cell>
          <cell r="AA4448">
            <v>0.99972000000000005</v>
          </cell>
          <cell r="AB4448">
            <v>0.99907999999999997</v>
          </cell>
          <cell r="AC4448">
            <v>0.99878</v>
          </cell>
          <cell r="AD4448">
            <v>0.99861</v>
          </cell>
          <cell r="AE4448">
            <v>0.99811000000000005</v>
          </cell>
          <cell r="AF4448">
            <v>0.99731999999999998</v>
          </cell>
          <cell r="AG4448">
            <v>0.99614000000000003</v>
          </cell>
          <cell r="AH4448">
            <v>0.99438000000000004</v>
          </cell>
          <cell r="AI4448">
            <v>0.99168000000000001</v>
          </cell>
          <cell r="AJ4448">
            <v>0.98882999999999999</v>
          </cell>
          <cell r="AK4448">
            <v>0.97960000000000003</v>
          </cell>
          <cell r="AL4448">
            <v>0.97214999999999996</v>
          </cell>
          <cell r="AM4448">
            <v>0.95533999999999997</v>
          </cell>
          <cell r="AN4448">
            <v>0.91951000000000005</v>
          </cell>
          <cell r="AO4448">
            <v>0.83821999999999997</v>
          </cell>
          <cell r="AP4448">
            <v>0.51121000000000005</v>
          </cell>
        </row>
        <row r="4449">
          <cell r="D4449" t="str">
            <v>佐渡市</v>
          </cell>
          <cell r="E4449" t="str">
            <v>2035→2040</v>
          </cell>
          <cell r="F4449">
            <v>0.99950000000000006</v>
          </cell>
          <cell r="G4449">
            <v>0.99965999999999999</v>
          </cell>
          <cell r="H4449">
            <v>0.99924000000000002</v>
          </cell>
          <cell r="I4449">
            <v>0.99804999999999999</v>
          </cell>
          <cell r="J4449">
            <v>0.99726000000000004</v>
          </cell>
          <cell r="K4449">
            <v>0.99724000000000002</v>
          </cell>
          <cell r="L4449">
            <v>0.99668999999999996</v>
          </cell>
          <cell r="M4449">
            <v>0.99543999999999999</v>
          </cell>
          <cell r="N4449">
            <v>0.99314999999999998</v>
          </cell>
          <cell r="O4449">
            <v>0.98914000000000002</v>
          </cell>
          <cell r="P4449">
            <v>0.98294000000000004</v>
          </cell>
          <cell r="Q4449">
            <v>0.97431999999999996</v>
          </cell>
          <cell r="R4449">
            <v>0.95737000000000005</v>
          </cell>
          <cell r="S4449">
            <v>0.93483000000000005</v>
          </cell>
          <cell r="T4449">
            <v>0.90251999999999999</v>
          </cell>
          <cell r="U4449">
            <v>0.83481000000000005</v>
          </cell>
          <cell r="V4449">
            <v>0.71499000000000001</v>
          </cell>
          <cell r="W4449">
            <v>0.43114000000000002</v>
          </cell>
          <cell r="Y4449">
            <v>0.99946999999999997</v>
          </cell>
          <cell r="Z4449">
            <v>0.99977000000000005</v>
          </cell>
          <cell r="AA4449">
            <v>0.99973000000000001</v>
          </cell>
          <cell r="AB4449">
            <v>0.99912999999999996</v>
          </cell>
          <cell r="AC4449">
            <v>0.99883999999999995</v>
          </cell>
          <cell r="AD4449">
            <v>0.99868000000000001</v>
          </cell>
          <cell r="AE4449">
            <v>0.99819999999999998</v>
          </cell>
          <cell r="AF4449">
            <v>0.99743999999999999</v>
          </cell>
          <cell r="AG4449">
            <v>0.99629999999999996</v>
          </cell>
          <cell r="AH4449">
            <v>0.99460000000000004</v>
          </cell>
          <cell r="AI4449">
            <v>0.99199000000000004</v>
          </cell>
          <cell r="AJ4449">
            <v>0.98921999999999999</v>
          </cell>
          <cell r="AK4449">
            <v>0.98023000000000005</v>
          </cell>
          <cell r="AL4449">
            <v>0.97311999999999999</v>
          </cell>
          <cell r="AM4449">
            <v>0.95716000000000001</v>
          </cell>
          <cell r="AN4449">
            <v>0.92366999999999999</v>
          </cell>
          <cell r="AO4449">
            <v>0.84648000000000001</v>
          </cell>
          <cell r="AP4449">
            <v>0.52053000000000005</v>
          </cell>
        </row>
        <row r="4450">
          <cell r="D4450" t="str">
            <v>佐渡市</v>
          </cell>
          <cell r="E4450" t="str">
            <v>2040→2045</v>
          </cell>
          <cell r="F4450">
            <v>0.99953999999999998</v>
          </cell>
          <cell r="G4450">
            <v>0.99970000000000003</v>
          </cell>
          <cell r="H4450">
            <v>0.99929999999999997</v>
          </cell>
          <cell r="I4450">
            <v>0.99817</v>
          </cell>
          <cell r="J4450">
            <v>0.99736999999999998</v>
          </cell>
          <cell r="K4450">
            <v>0.99734999999999996</v>
          </cell>
          <cell r="L4450">
            <v>0.99685000000000001</v>
          </cell>
          <cell r="M4450">
            <v>0.99567000000000005</v>
          </cell>
          <cell r="N4450">
            <v>0.99346999999999996</v>
          </cell>
          <cell r="O4450">
            <v>0.98963999999999996</v>
          </cell>
          <cell r="P4450">
            <v>0.98368</v>
          </cell>
          <cell r="Q4450">
            <v>0.97529999999999994</v>
          </cell>
          <cell r="R4450">
            <v>0.95879000000000003</v>
          </cell>
          <cell r="S4450">
            <v>0.93696999999999997</v>
          </cell>
          <cell r="T4450">
            <v>0.90580000000000005</v>
          </cell>
          <cell r="U4450">
            <v>0.84153999999999995</v>
          </cell>
          <cell r="V4450">
            <v>0.72591000000000006</v>
          </cell>
          <cell r="W4450">
            <v>0.44001000000000001</v>
          </cell>
          <cell r="Y4450">
            <v>0.99951999999999996</v>
          </cell>
          <cell r="Z4450">
            <v>0.99978999999999996</v>
          </cell>
          <cell r="AA4450">
            <v>0.99973999999999996</v>
          </cell>
          <cell r="AB4450">
            <v>0.99917999999999996</v>
          </cell>
          <cell r="AC4450">
            <v>0.99890999999999996</v>
          </cell>
          <cell r="AD4450">
            <v>0.99873000000000001</v>
          </cell>
          <cell r="AE4450">
            <v>0.99827999999999995</v>
          </cell>
          <cell r="AF4450">
            <v>0.99755000000000005</v>
          </cell>
          <cell r="AG4450">
            <v>0.99643999999999999</v>
          </cell>
          <cell r="AH4450">
            <v>0.99478</v>
          </cell>
          <cell r="AI4450">
            <v>0.99226000000000003</v>
          </cell>
          <cell r="AJ4450">
            <v>0.98953999999999998</v>
          </cell>
          <cell r="AK4450">
            <v>0.98075999999999997</v>
          </cell>
          <cell r="AL4450">
            <v>0.97394999999999998</v>
          </cell>
          <cell r="AM4450">
            <v>0.95867000000000002</v>
          </cell>
          <cell r="AN4450">
            <v>0.92720000000000002</v>
          </cell>
          <cell r="AO4450">
            <v>0.85367000000000004</v>
          </cell>
          <cell r="AP4450">
            <v>0.52898999999999996</v>
          </cell>
        </row>
        <row r="4451">
          <cell r="D4451" t="str">
            <v>魚沼市</v>
          </cell>
          <cell r="E4451" t="str">
            <v>2015→2020</v>
          </cell>
          <cell r="F4451">
            <v>0.99922999999999995</v>
          </cell>
          <cell r="G4451">
            <v>0.99951000000000001</v>
          </cell>
          <cell r="H4451">
            <v>0.99890999999999996</v>
          </cell>
          <cell r="I4451">
            <v>0.99744999999999995</v>
          </cell>
          <cell r="J4451">
            <v>0.99673</v>
          </cell>
          <cell r="K4451">
            <v>0.99668999999999996</v>
          </cell>
          <cell r="L4451">
            <v>0.99589000000000005</v>
          </cell>
          <cell r="M4451">
            <v>0.99428000000000005</v>
          </cell>
          <cell r="N4451">
            <v>0.99145000000000005</v>
          </cell>
          <cell r="O4451">
            <v>0.98650000000000004</v>
          </cell>
          <cell r="P4451">
            <v>0.97901000000000005</v>
          </cell>
          <cell r="Q4451">
            <v>0.96877000000000002</v>
          </cell>
          <cell r="R4451">
            <v>0.95272000000000001</v>
          </cell>
          <cell r="S4451">
            <v>0.92850999999999995</v>
          </cell>
          <cell r="T4451">
            <v>0.89017000000000002</v>
          </cell>
          <cell r="U4451">
            <v>0.80237999999999998</v>
          </cell>
          <cell r="V4451">
            <v>0.65976999999999997</v>
          </cell>
          <cell r="W4451">
            <v>0.39273000000000002</v>
          </cell>
          <cell r="Y4451">
            <v>0.99922999999999995</v>
          </cell>
          <cell r="Z4451">
            <v>0.99966999999999995</v>
          </cell>
          <cell r="AA4451">
            <v>0.99968000000000001</v>
          </cell>
          <cell r="AB4451">
            <v>0.99888999999999994</v>
          </cell>
          <cell r="AC4451">
            <v>0.99853999999999998</v>
          </cell>
          <cell r="AD4451">
            <v>0.99836999999999998</v>
          </cell>
          <cell r="AE4451">
            <v>0.99777000000000005</v>
          </cell>
          <cell r="AF4451">
            <v>0.99685999999999997</v>
          </cell>
          <cell r="AG4451">
            <v>0.99548999999999999</v>
          </cell>
          <cell r="AH4451">
            <v>0.99348999999999998</v>
          </cell>
          <cell r="AI4451">
            <v>0.99043000000000003</v>
          </cell>
          <cell r="AJ4451">
            <v>0.98716000000000004</v>
          </cell>
          <cell r="AK4451">
            <v>0.98197000000000001</v>
          </cell>
          <cell r="AL4451">
            <v>0.97204000000000002</v>
          </cell>
          <cell r="AM4451">
            <v>0.95289000000000001</v>
          </cell>
          <cell r="AN4451">
            <v>0.91052999999999995</v>
          </cell>
          <cell r="AO4451">
            <v>0.82279000000000002</v>
          </cell>
          <cell r="AP4451">
            <v>0.51105999999999996</v>
          </cell>
        </row>
        <row r="4452">
          <cell r="D4452" t="str">
            <v>魚沼市</v>
          </cell>
          <cell r="E4452" t="str">
            <v>2020→2025</v>
          </cell>
          <cell r="F4452">
            <v>0.99931999999999999</v>
          </cell>
          <cell r="G4452">
            <v>0.99955000000000005</v>
          </cell>
          <cell r="H4452">
            <v>0.999</v>
          </cell>
          <cell r="I4452">
            <v>0.99761999999999995</v>
          </cell>
          <cell r="J4452">
            <v>0.99687000000000003</v>
          </cell>
          <cell r="K4452">
            <v>0.99683999999999995</v>
          </cell>
          <cell r="L4452">
            <v>0.99612000000000001</v>
          </cell>
          <cell r="M4452">
            <v>0.99460999999999999</v>
          </cell>
          <cell r="N4452">
            <v>0.99194000000000004</v>
          </cell>
          <cell r="O4452">
            <v>0.98726999999999998</v>
          </cell>
          <cell r="P4452">
            <v>0.98016000000000003</v>
          </cell>
          <cell r="Q4452">
            <v>0.97045000000000003</v>
          </cell>
          <cell r="R4452">
            <v>0.95511000000000001</v>
          </cell>
          <cell r="S4452">
            <v>0.93205000000000005</v>
          </cell>
          <cell r="T4452">
            <v>0.89617000000000002</v>
          </cell>
          <cell r="U4452">
            <v>0.81364999999999998</v>
          </cell>
          <cell r="V4452">
            <v>0.67586999999999997</v>
          </cell>
          <cell r="W4452">
            <v>0.40547</v>
          </cell>
          <cell r="Y4452">
            <v>0.99929999999999997</v>
          </cell>
          <cell r="Z4452">
            <v>0.99970000000000003</v>
          </cell>
          <cell r="AA4452">
            <v>0.99970000000000003</v>
          </cell>
          <cell r="AB4452">
            <v>0.99895999999999996</v>
          </cell>
          <cell r="AC4452">
            <v>0.99861999999999995</v>
          </cell>
          <cell r="AD4452">
            <v>0.99846000000000001</v>
          </cell>
          <cell r="AE4452">
            <v>0.99789000000000005</v>
          </cell>
          <cell r="AF4452">
            <v>0.99702999999999997</v>
          </cell>
          <cell r="AG4452">
            <v>0.99573999999999996</v>
          </cell>
          <cell r="AH4452">
            <v>0.99382999999999999</v>
          </cell>
          <cell r="AI4452">
            <v>0.99090999999999996</v>
          </cell>
          <cell r="AJ4452">
            <v>0.98780999999999997</v>
          </cell>
          <cell r="AK4452">
            <v>0.98302</v>
          </cell>
          <cell r="AL4452">
            <v>0.97367999999999999</v>
          </cell>
          <cell r="AM4452">
            <v>0.95618999999999998</v>
          </cell>
          <cell r="AN4452">
            <v>0.91754000000000002</v>
          </cell>
          <cell r="AO4452">
            <v>0.83591000000000004</v>
          </cell>
          <cell r="AP4452">
            <v>0.52481</v>
          </cell>
        </row>
        <row r="4453">
          <cell r="D4453" t="str">
            <v>魚沼市</v>
          </cell>
          <cell r="E4453" t="str">
            <v>2025→2030</v>
          </cell>
          <cell r="F4453">
            <v>0.99939</v>
          </cell>
          <cell r="G4453">
            <v>0.99958999999999998</v>
          </cell>
          <cell r="H4453">
            <v>0.99909000000000003</v>
          </cell>
          <cell r="I4453">
            <v>0.99778</v>
          </cell>
          <cell r="J4453">
            <v>0.99700999999999995</v>
          </cell>
          <cell r="K4453">
            <v>0.99697999999999998</v>
          </cell>
          <cell r="L4453">
            <v>0.99633000000000005</v>
          </cell>
          <cell r="M4453">
            <v>0.99492000000000003</v>
          </cell>
          <cell r="N4453">
            <v>0.99238999999999999</v>
          </cell>
          <cell r="O4453">
            <v>0.98797000000000001</v>
          </cell>
          <cell r="P4453">
            <v>0.98119999999999996</v>
          </cell>
          <cell r="Q4453">
            <v>0.97192999999999996</v>
          </cell>
          <cell r="R4453">
            <v>0.95721999999999996</v>
          </cell>
          <cell r="S4453">
            <v>0.93513000000000002</v>
          </cell>
          <cell r="T4453">
            <v>0.90117000000000003</v>
          </cell>
          <cell r="U4453">
            <v>0.82352000000000003</v>
          </cell>
          <cell r="V4453">
            <v>0.69040000000000001</v>
          </cell>
          <cell r="W4453">
            <v>0.41694999999999999</v>
          </cell>
          <cell r="Y4453">
            <v>0.99936999999999998</v>
          </cell>
          <cell r="Z4453">
            <v>0.99973000000000001</v>
          </cell>
          <cell r="AA4453">
            <v>0.99970999999999999</v>
          </cell>
          <cell r="AB4453">
            <v>0.99902000000000002</v>
          </cell>
          <cell r="AC4453">
            <v>0.99870000000000003</v>
          </cell>
          <cell r="AD4453">
            <v>0.99853999999999998</v>
          </cell>
          <cell r="AE4453">
            <v>0.99800999999999995</v>
          </cell>
          <cell r="AF4453">
            <v>0.99717999999999996</v>
          </cell>
          <cell r="AG4453">
            <v>0.99595</v>
          </cell>
          <cell r="AH4453">
            <v>0.99412999999999996</v>
          </cell>
          <cell r="AI4453">
            <v>0.99131999999999998</v>
          </cell>
          <cell r="AJ4453">
            <v>0.98836999999999997</v>
          </cell>
          <cell r="AK4453">
            <v>0.98390999999999995</v>
          </cell>
          <cell r="AL4453">
            <v>0.97504999999999997</v>
          </cell>
          <cell r="AM4453">
            <v>0.95887</v>
          </cell>
          <cell r="AN4453">
            <v>0.92344000000000004</v>
          </cell>
          <cell r="AO4453">
            <v>0.84713000000000005</v>
          </cell>
          <cell r="AP4453">
            <v>0.53703999999999996</v>
          </cell>
        </row>
        <row r="4454">
          <cell r="D4454" t="str">
            <v>魚沼市</v>
          </cell>
          <cell r="E4454" t="str">
            <v>2030→2035</v>
          </cell>
          <cell r="F4454">
            <v>0.99944999999999995</v>
          </cell>
          <cell r="G4454">
            <v>0.99963000000000002</v>
          </cell>
          <cell r="H4454">
            <v>0.99917</v>
          </cell>
          <cell r="I4454">
            <v>0.99792000000000003</v>
          </cell>
          <cell r="J4454">
            <v>0.99714000000000003</v>
          </cell>
          <cell r="K4454">
            <v>0.99711000000000005</v>
          </cell>
          <cell r="L4454">
            <v>0.99651999999999996</v>
          </cell>
          <cell r="M4454">
            <v>0.99519000000000002</v>
          </cell>
          <cell r="N4454">
            <v>0.99278999999999995</v>
          </cell>
          <cell r="O4454">
            <v>0.98858999999999997</v>
          </cell>
          <cell r="P4454">
            <v>0.98211999999999999</v>
          </cell>
          <cell r="Q4454">
            <v>0.97321000000000002</v>
          </cell>
          <cell r="R4454">
            <v>0.95906000000000002</v>
          </cell>
          <cell r="S4454">
            <v>0.93784999999999996</v>
          </cell>
          <cell r="T4454">
            <v>0.90547999999999995</v>
          </cell>
          <cell r="U4454">
            <v>0.83218999999999999</v>
          </cell>
          <cell r="V4454">
            <v>0.70357000000000003</v>
          </cell>
          <cell r="W4454">
            <v>0.42751</v>
          </cell>
          <cell r="Y4454">
            <v>0.99941999999999998</v>
          </cell>
          <cell r="Z4454">
            <v>0.99975000000000003</v>
          </cell>
          <cell r="AA4454">
            <v>0.99972000000000005</v>
          </cell>
          <cell r="AB4454">
            <v>0.99907999999999997</v>
          </cell>
          <cell r="AC4454">
            <v>0.99878</v>
          </cell>
          <cell r="AD4454">
            <v>0.99861</v>
          </cell>
          <cell r="AE4454">
            <v>0.99811000000000005</v>
          </cell>
          <cell r="AF4454">
            <v>0.99731999999999998</v>
          </cell>
          <cell r="AG4454">
            <v>0.99614000000000003</v>
          </cell>
          <cell r="AH4454">
            <v>0.99438000000000004</v>
          </cell>
          <cell r="AI4454">
            <v>0.99168000000000001</v>
          </cell>
          <cell r="AJ4454">
            <v>0.98882999999999999</v>
          </cell>
          <cell r="AK4454">
            <v>0.98465999999999998</v>
          </cell>
          <cell r="AL4454">
            <v>0.97619999999999996</v>
          </cell>
          <cell r="AM4454">
            <v>0.96108000000000005</v>
          </cell>
          <cell r="AN4454">
            <v>0.92840999999999996</v>
          </cell>
          <cell r="AO4454">
            <v>0.85685</v>
          </cell>
          <cell r="AP4454">
            <v>0.54808000000000001</v>
          </cell>
        </row>
        <row r="4455">
          <cell r="D4455" t="str">
            <v>魚沼市</v>
          </cell>
          <cell r="E4455" t="str">
            <v>2035→2040</v>
          </cell>
          <cell r="F4455">
            <v>0.99950000000000006</v>
          </cell>
          <cell r="G4455">
            <v>0.99965999999999999</v>
          </cell>
          <cell r="H4455">
            <v>0.99924000000000002</v>
          </cell>
          <cell r="I4455">
            <v>0.99804999999999999</v>
          </cell>
          <cell r="J4455">
            <v>0.99726000000000004</v>
          </cell>
          <cell r="K4455">
            <v>0.99724000000000002</v>
          </cell>
          <cell r="L4455">
            <v>0.99668999999999996</v>
          </cell>
          <cell r="M4455">
            <v>0.99543999999999999</v>
          </cell>
          <cell r="N4455">
            <v>0.99314999999999998</v>
          </cell>
          <cell r="O4455">
            <v>0.98914000000000002</v>
          </cell>
          <cell r="P4455">
            <v>0.98294000000000004</v>
          </cell>
          <cell r="Q4455">
            <v>0.97431999999999996</v>
          </cell>
          <cell r="R4455">
            <v>0.96067999999999998</v>
          </cell>
          <cell r="S4455">
            <v>0.94027000000000005</v>
          </cell>
          <cell r="T4455">
            <v>0.90924000000000005</v>
          </cell>
          <cell r="U4455">
            <v>0.83984000000000003</v>
          </cell>
          <cell r="V4455">
            <v>0.71555000000000002</v>
          </cell>
          <cell r="W4455">
            <v>0.43724000000000002</v>
          </cell>
          <cell r="Y4455">
            <v>0.99946999999999997</v>
          </cell>
          <cell r="Z4455">
            <v>0.99977000000000005</v>
          </cell>
          <cell r="AA4455">
            <v>0.99973000000000001</v>
          </cell>
          <cell r="AB4455">
            <v>0.99912999999999996</v>
          </cell>
          <cell r="AC4455">
            <v>0.99883999999999995</v>
          </cell>
          <cell r="AD4455">
            <v>0.99868000000000001</v>
          </cell>
          <cell r="AE4455">
            <v>0.99819999999999998</v>
          </cell>
          <cell r="AF4455">
            <v>0.99743999999999999</v>
          </cell>
          <cell r="AG4455">
            <v>0.99629999999999996</v>
          </cell>
          <cell r="AH4455">
            <v>0.99460000000000004</v>
          </cell>
          <cell r="AI4455">
            <v>0.99199000000000004</v>
          </cell>
          <cell r="AJ4455">
            <v>0.98921999999999999</v>
          </cell>
          <cell r="AK4455">
            <v>0.98529999999999995</v>
          </cell>
          <cell r="AL4455">
            <v>0.97716999999999998</v>
          </cell>
          <cell r="AM4455">
            <v>0.96291000000000004</v>
          </cell>
          <cell r="AN4455">
            <v>0.93261000000000005</v>
          </cell>
          <cell r="AO4455">
            <v>0.86528000000000005</v>
          </cell>
          <cell r="AP4455">
            <v>0.55808000000000002</v>
          </cell>
        </row>
        <row r="4456">
          <cell r="D4456" t="str">
            <v>魚沼市</v>
          </cell>
          <cell r="E4456" t="str">
            <v>2040→2045</v>
          </cell>
          <cell r="F4456">
            <v>0.99953999999999998</v>
          </cell>
          <cell r="G4456">
            <v>0.99970000000000003</v>
          </cell>
          <cell r="H4456">
            <v>0.99929999999999997</v>
          </cell>
          <cell r="I4456">
            <v>0.99817</v>
          </cell>
          <cell r="J4456">
            <v>0.99736999999999998</v>
          </cell>
          <cell r="K4456">
            <v>0.99734999999999996</v>
          </cell>
          <cell r="L4456">
            <v>0.99685000000000001</v>
          </cell>
          <cell r="M4456">
            <v>0.99567000000000005</v>
          </cell>
          <cell r="N4456">
            <v>0.99346999999999996</v>
          </cell>
          <cell r="O4456">
            <v>0.98963999999999996</v>
          </cell>
          <cell r="P4456">
            <v>0.98368</v>
          </cell>
          <cell r="Q4456">
            <v>0.97529999999999994</v>
          </cell>
          <cell r="R4456">
            <v>0.96211000000000002</v>
          </cell>
          <cell r="S4456">
            <v>0.94242999999999999</v>
          </cell>
          <cell r="T4456">
            <v>0.91254000000000002</v>
          </cell>
          <cell r="U4456">
            <v>0.84662000000000004</v>
          </cell>
          <cell r="V4456">
            <v>0.72648000000000001</v>
          </cell>
          <cell r="W4456">
            <v>0.44624000000000003</v>
          </cell>
          <cell r="Y4456">
            <v>0.99951999999999996</v>
          </cell>
          <cell r="Z4456">
            <v>0.99978999999999996</v>
          </cell>
          <cell r="AA4456">
            <v>0.99973999999999996</v>
          </cell>
          <cell r="AB4456">
            <v>0.99917999999999996</v>
          </cell>
          <cell r="AC4456">
            <v>0.99890999999999996</v>
          </cell>
          <cell r="AD4456">
            <v>0.99873000000000001</v>
          </cell>
          <cell r="AE4456">
            <v>0.99827999999999995</v>
          </cell>
          <cell r="AF4456">
            <v>0.99755000000000005</v>
          </cell>
          <cell r="AG4456">
            <v>0.99643999999999999</v>
          </cell>
          <cell r="AH4456">
            <v>0.99478</v>
          </cell>
          <cell r="AI4456">
            <v>0.99226000000000003</v>
          </cell>
          <cell r="AJ4456">
            <v>0.98953999999999998</v>
          </cell>
          <cell r="AK4456">
            <v>0.98582999999999998</v>
          </cell>
          <cell r="AL4456">
            <v>0.97799999999999998</v>
          </cell>
          <cell r="AM4456">
            <v>0.96442000000000005</v>
          </cell>
          <cell r="AN4456">
            <v>0.93618000000000001</v>
          </cell>
          <cell r="AO4456">
            <v>0.87263999999999997</v>
          </cell>
          <cell r="AP4456">
            <v>0.56715000000000004</v>
          </cell>
        </row>
        <row r="4457">
          <cell r="D4457" t="str">
            <v>南魚沼市</v>
          </cell>
          <cell r="E4457" t="str">
            <v>2015→2020</v>
          </cell>
          <cell r="F4457">
            <v>0.99922999999999995</v>
          </cell>
          <cell r="G4457">
            <v>0.99951000000000001</v>
          </cell>
          <cell r="H4457">
            <v>0.99890999999999996</v>
          </cell>
          <cell r="I4457">
            <v>0.99744999999999995</v>
          </cell>
          <cell r="J4457">
            <v>0.99673</v>
          </cell>
          <cell r="K4457">
            <v>0.99668999999999996</v>
          </cell>
          <cell r="L4457">
            <v>0.99589000000000005</v>
          </cell>
          <cell r="M4457">
            <v>0.99428000000000005</v>
          </cell>
          <cell r="N4457">
            <v>0.99145000000000005</v>
          </cell>
          <cell r="O4457">
            <v>0.98650000000000004</v>
          </cell>
          <cell r="P4457">
            <v>0.97901000000000005</v>
          </cell>
          <cell r="Q4457">
            <v>0.96877000000000002</v>
          </cell>
          <cell r="R4457">
            <v>0.95928000000000002</v>
          </cell>
          <cell r="S4457">
            <v>0.92662999999999995</v>
          </cell>
          <cell r="T4457">
            <v>0.88661999999999996</v>
          </cell>
          <cell r="U4457">
            <v>0.80533999999999994</v>
          </cell>
          <cell r="V4457">
            <v>0.67508999999999997</v>
          </cell>
          <cell r="W4457">
            <v>0.39537</v>
          </cell>
          <cell r="Y4457">
            <v>0.99922999999999995</v>
          </cell>
          <cell r="Z4457">
            <v>0.99966999999999995</v>
          </cell>
          <cell r="AA4457">
            <v>0.99968000000000001</v>
          </cell>
          <cell r="AB4457">
            <v>0.99888999999999994</v>
          </cell>
          <cell r="AC4457">
            <v>0.99853999999999998</v>
          </cell>
          <cell r="AD4457">
            <v>0.99836999999999998</v>
          </cell>
          <cell r="AE4457">
            <v>0.99777000000000005</v>
          </cell>
          <cell r="AF4457">
            <v>0.99685999999999997</v>
          </cell>
          <cell r="AG4457">
            <v>0.99548999999999999</v>
          </cell>
          <cell r="AH4457">
            <v>0.99348999999999998</v>
          </cell>
          <cell r="AI4457">
            <v>0.99043000000000003</v>
          </cell>
          <cell r="AJ4457">
            <v>0.98716000000000004</v>
          </cell>
          <cell r="AK4457">
            <v>0.98080999999999996</v>
          </cell>
          <cell r="AL4457">
            <v>0.97328000000000003</v>
          </cell>
          <cell r="AM4457">
            <v>0.95452000000000004</v>
          </cell>
          <cell r="AN4457">
            <v>0.90815999999999997</v>
          </cell>
          <cell r="AO4457">
            <v>0.81986999999999999</v>
          </cell>
          <cell r="AP4457">
            <v>0.49262</v>
          </cell>
        </row>
        <row r="4458">
          <cell r="D4458" t="str">
            <v>南魚沼市</v>
          </cell>
          <cell r="E4458" t="str">
            <v>2020→2025</v>
          </cell>
          <cell r="F4458">
            <v>0.99931999999999999</v>
          </cell>
          <cell r="G4458">
            <v>0.99955000000000005</v>
          </cell>
          <cell r="H4458">
            <v>0.999</v>
          </cell>
          <cell r="I4458">
            <v>0.99761999999999995</v>
          </cell>
          <cell r="J4458">
            <v>0.99687000000000003</v>
          </cell>
          <cell r="K4458">
            <v>0.99683999999999995</v>
          </cell>
          <cell r="L4458">
            <v>0.99612000000000001</v>
          </cell>
          <cell r="M4458">
            <v>0.99460999999999999</v>
          </cell>
          <cell r="N4458">
            <v>0.99194000000000004</v>
          </cell>
          <cell r="O4458">
            <v>0.98726999999999998</v>
          </cell>
          <cell r="P4458">
            <v>0.98016000000000003</v>
          </cell>
          <cell r="Q4458">
            <v>0.97045000000000003</v>
          </cell>
          <cell r="R4458">
            <v>0.96169000000000004</v>
          </cell>
          <cell r="S4458">
            <v>0.93015999999999999</v>
          </cell>
          <cell r="T4458">
            <v>0.89259999999999995</v>
          </cell>
          <cell r="U4458">
            <v>0.81664999999999999</v>
          </cell>
          <cell r="V4458">
            <v>0.69157000000000002</v>
          </cell>
          <cell r="W4458">
            <v>0.40819</v>
          </cell>
          <cell r="Y4458">
            <v>0.99929999999999997</v>
          </cell>
          <cell r="Z4458">
            <v>0.99970000000000003</v>
          </cell>
          <cell r="AA4458">
            <v>0.99970000000000003</v>
          </cell>
          <cell r="AB4458">
            <v>0.99895999999999996</v>
          </cell>
          <cell r="AC4458">
            <v>0.99861999999999995</v>
          </cell>
          <cell r="AD4458">
            <v>0.99846000000000001</v>
          </cell>
          <cell r="AE4458">
            <v>0.99789000000000005</v>
          </cell>
          <cell r="AF4458">
            <v>0.99702999999999997</v>
          </cell>
          <cell r="AG4458">
            <v>0.99573999999999996</v>
          </cell>
          <cell r="AH4458">
            <v>0.99382999999999999</v>
          </cell>
          <cell r="AI4458">
            <v>0.99090999999999996</v>
          </cell>
          <cell r="AJ4458">
            <v>0.98780999999999997</v>
          </cell>
          <cell r="AK4458">
            <v>0.98185999999999996</v>
          </cell>
          <cell r="AL4458">
            <v>0.97492000000000001</v>
          </cell>
          <cell r="AM4458">
            <v>0.95782</v>
          </cell>
          <cell r="AN4458">
            <v>0.91515999999999997</v>
          </cell>
          <cell r="AO4458">
            <v>0.83294999999999997</v>
          </cell>
          <cell r="AP4458">
            <v>0.50587000000000004</v>
          </cell>
        </row>
        <row r="4459">
          <cell r="D4459" t="str">
            <v>南魚沼市</v>
          </cell>
          <cell r="E4459" t="str">
            <v>2025→2030</v>
          </cell>
          <cell r="F4459">
            <v>0.99939</v>
          </cell>
          <cell r="G4459">
            <v>0.99958999999999998</v>
          </cell>
          <cell r="H4459">
            <v>0.99909000000000003</v>
          </cell>
          <cell r="I4459">
            <v>0.99778</v>
          </cell>
          <cell r="J4459">
            <v>0.99700999999999995</v>
          </cell>
          <cell r="K4459">
            <v>0.99697999999999998</v>
          </cell>
          <cell r="L4459">
            <v>0.99633000000000005</v>
          </cell>
          <cell r="M4459">
            <v>0.99492000000000003</v>
          </cell>
          <cell r="N4459">
            <v>0.99238999999999999</v>
          </cell>
          <cell r="O4459">
            <v>0.98797000000000001</v>
          </cell>
          <cell r="P4459">
            <v>0.98119999999999996</v>
          </cell>
          <cell r="Q4459">
            <v>0.97192999999999996</v>
          </cell>
          <cell r="R4459">
            <v>0.96380999999999994</v>
          </cell>
          <cell r="S4459">
            <v>0.93323999999999996</v>
          </cell>
          <cell r="T4459">
            <v>0.89758000000000004</v>
          </cell>
          <cell r="U4459">
            <v>0.82655999999999996</v>
          </cell>
          <cell r="V4459">
            <v>0.70643</v>
          </cell>
          <cell r="W4459">
            <v>0.41974</v>
          </cell>
          <cell r="Y4459">
            <v>0.99936999999999998</v>
          </cell>
          <cell r="Z4459">
            <v>0.99973000000000001</v>
          </cell>
          <cell r="AA4459">
            <v>0.99970999999999999</v>
          </cell>
          <cell r="AB4459">
            <v>0.99902000000000002</v>
          </cell>
          <cell r="AC4459">
            <v>0.99870000000000003</v>
          </cell>
          <cell r="AD4459">
            <v>0.99853999999999998</v>
          </cell>
          <cell r="AE4459">
            <v>0.99800999999999995</v>
          </cell>
          <cell r="AF4459">
            <v>0.99717999999999996</v>
          </cell>
          <cell r="AG4459">
            <v>0.99595</v>
          </cell>
          <cell r="AH4459">
            <v>0.99412999999999996</v>
          </cell>
          <cell r="AI4459">
            <v>0.99131999999999998</v>
          </cell>
          <cell r="AJ4459">
            <v>0.98836999999999997</v>
          </cell>
          <cell r="AK4459">
            <v>0.98275000000000001</v>
          </cell>
          <cell r="AL4459">
            <v>0.97628999999999999</v>
          </cell>
          <cell r="AM4459">
            <v>0.96050999999999997</v>
          </cell>
          <cell r="AN4459">
            <v>0.92103999999999997</v>
          </cell>
          <cell r="AO4459">
            <v>0.84413000000000005</v>
          </cell>
          <cell r="AP4459">
            <v>0.51766000000000001</v>
          </cell>
        </row>
        <row r="4460">
          <cell r="D4460" t="str">
            <v>南魚沼市</v>
          </cell>
          <cell r="E4460" t="str">
            <v>2030→2035</v>
          </cell>
          <cell r="F4460">
            <v>0.99944999999999995</v>
          </cell>
          <cell r="G4460">
            <v>0.99963000000000002</v>
          </cell>
          <cell r="H4460">
            <v>0.99917</v>
          </cell>
          <cell r="I4460">
            <v>0.99792000000000003</v>
          </cell>
          <cell r="J4460">
            <v>0.99714000000000003</v>
          </cell>
          <cell r="K4460">
            <v>0.99711000000000005</v>
          </cell>
          <cell r="L4460">
            <v>0.99651999999999996</v>
          </cell>
          <cell r="M4460">
            <v>0.99519000000000002</v>
          </cell>
          <cell r="N4460">
            <v>0.99278999999999995</v>
          </cell>
          <cell r="O4460">
            <v>0.98858999999999997</v>
          </cell>
          <cell r="P4460">
            <v>0.98211999999999999</v>
          </cell>
          <cell r="Q4460">
            <v>0.97321000000000002</v>
          </cell>
          <cell r="R4460">
            <v>0.96567000000000003</v>
          </cell>
          <cell r="S4460">
            <v>0.93596000000000001</v>
          </cell>
          <cell r="T4460">
            <v>0.90186999999999995</v>
          </cell>
          <cell r="U4460">
            <v>0.83526</v>
          </cell>
          <cell r="V4460">
            <v>0.71991000000000005</v>
          </cell>
          <cell r="W4460">
            <v>0.43036999999999997</v>
          </cell>
          <cell r="Y4460">
            <v>0.99941999999999998</v>
          </cell>
          <cell r="Z4460">
            <v>0.99975000000000003</v>
          </cell>
          <cell r="AA4460">
            <v>0.99972000000000005</v>
          </cell>
          <cell r="AB4460">
            <v>0.99907999999999997</v>
          </cell>
          <cell r="AC4460">
            <v>0.99878</v>
          </cell>
          <cell r="AD4460">
            <v>0.99861</v>
          </cell>
          <cell r="AE4460">
            <v>0.99811000000000005</v>
          </cell>
          <cell r="AF4460">
            <v>0.99731999999999998</v>
          </cell>
          <cell r="AG4460">
            <v>0.99614000000000003</v>
          </cell>
          <cell r="AH4460">
            <v>0.99438000000000004</v>
          </cell>
          <cell r="AI4460">
            <v>0.99168000000000001</v>
          </cell>
          <cell r="AJ4460">
            <v>0.98882999999999999</v>
          </cell>
          <cell r="AK4460">
            <v>0.98350000000000004</v>
          </cell>
          <cell r="AL4460">
            <v>0.97743999999999998</v>
          </cell>
          <cell r="AM4460">
            <v>0.96272000000000002</v>
          </cell>
          <cell r="AN4460">
            <v>0.92600000000000005</v>
          </cell>
          <cell r="AO4460">
            <v>0.85380999999999996</v>
          </cell>
          <cell r="AP4460">
            <v>0.52829999999999999</v>
          </cell>
        </row>
        <row r="4461">
          <cell r="D4461" t="str">
            <v>南魚沼市</v>
          </cell>
          <cell r="E4461" t="str">
            <v>2035→2040</v>
          </cell>
          <cell r="F4461">
            <v>0.99950000000000006</v>
          </cell>
          <cell r="G4461">
            <v>0.99965999999999999</v>
          </cell>
          <cell r="H4461">
            <v>0.99924000000000002</v>
          </cell>
          <cell r="I4461">
            <v>0.99804999999999999</v>
          </cell>
          <cell r="J4461">
            <v>0.99726000000000004</v>
          </cell>
          <cell r="K4461">
            <v>0.99724000000000002</v>
          </cell>
          <cell r="L4461">
            <v>0.99668999999999996</v>
          </cell>
          <cell r="M4461">
            <v>0.99543999999999999</v>
          </cell>
          <cell r="N4461">
            <v>0.99314999999999998</v>
          </cell>
          <cell r="O4461">
            <v>0.98914000000000002</v>
          </cell>
          <cell r="P4461">
            <v>0.98294000000000004</v>
          </cell>
          <cell r="Q4461">
            <v>0.97431999999999996</v>
          </cell>
          <cell r="R4461">
            <v>0.96730000000000005</v>
          </cell>
          <cell r="S4461">
            <v>0.93837000000000004</v>
          </cell>
          <cell r="T4461">
            <v>0.90561000000000003</v>
          </cell>
          <cell r="U4461">
            <v>0.84294000000000002</v>
          </cell>
          <cell r="V4461">
            <v>0.73216000000000003</v>
          </cell>
          <cell r="W4461">
            <v>0.44017000000000001</v>
          </cell>
          <cell r="Y4461">
            <v>0.99946999999999997</v>
          </cell>
          <cell r="Z4461">
            <v>0.99977000000000005</v>
          </cell>
          <cell r="AA4461">
            <v>0.99973000000000001</v>
          </cell>
          <cell r="AB4461">
            <v>0.99912999999999996</v>
          </cell>
          <cell r="AC4461">
            <v>0.99883999999999995</v>
          </cell>
          <cell r="AD4461">
            <v>0.99868000000000001</v>
          </cell>
          <cell r="AE4461">
            <v>0.99819999999999998</v>
          </cell>
          <cell r="AF4461">
            <v>0.99743999999999999</v>
          </cell>
          <cell r="AG4461">
            <v>0.99629999999999996</v>
          </cell>
          <cell r="AH4461">
            <v>0.99460000000000004</v>
          </cell>
          <cell r="AI4461">
            <v>0.99199000000000004</v>
          </cell>
          <cell r="AJ4461">
            <v>0.98921999999999999</v>
          </cell>
          <cell r="AK4461">
            <v>0.98414000000000001</v>
          </cell>
          <cell r="AL4461">
            <v>0.97841999999999996</v>
          </cell>
          <cell r="AM4461">
            <v>0.96455999999999997</v>
          </cell>
          <cell r="AN4461">
            <v>0.93018999999999996</v>
          </cell>
          <cell r="AO4461">
            <v>0.86221999999999999</v>
          </cell>
          <cell r="AP4461">
            <v>0.53793999999999997</v>
          </cell>
        </row>
        <row r="4462">
          <cell r="D4462" t="str">
            <v>南魚沼市</v>
          </cell>
          <cell r="E4462" t="str">
            <v>2040→2045</v>
          </cell>
          <cell r="F4462">
            <v>0.99953999999999998</v>
          </cell>
          <cell r="G4462">
            <v>0.99970000000000003</v>
          </cell>
          <cell r="H4462">
            <v>0.99929999999999997</v>
          </cell>
          <cell r="I4462">
            <v>0.99817</v>
          </cell>
          <cell r="J4462">
            <v>0.99736999999999998</v>
          </cell>
          <cell r="K4462">
            <v>0.99734999999999996</v>
          </cell>
          <cell r="L4462">
            <v>0.99685000000000001</v>
          </cell>
          <cell r="M4462">
            <v>0.99567000000000005</v>
          </cell>
          <cell r="N4462">
            <v>0.99346999999999996</v>
          </cell>
          <cell r="O4462">
            <v>0.98963999999999996</v>
          </cell>
          <cell r="P4462">
            <v>0.98368</v>
          </cell>
          <cell r="Q4462">
            <v>0.97529999999999994</v>
          </cell>
          <cell r="R4462">
            <v>0.96872999999999998</v>
          </cell>
          <cell r="S4462">
            <v>0.94052000000000002</v>
          </cell>
          <cell r="T4462">
            <v>0.90890000000000004</v>
          </cell>
          <cell r="U4462">
            <v>0.84974000000000005</v>
          </cell>
          <cell r="V4462">
            <v>0.74334</v>
          </cell>
          <cell r="W4462">
            <v>0.44923000000000002</v>
          </cell>
          <cell r="Y4462">
            <v>0.99951999999999996</v>
          </cell>
          <cell r="Z4462">
            <v>0.99978999999999996</v>
          </cell>
          <cell r="AA4462">
            <v>0.99973999999999996</v>
          </cell>
          <cell r="AB4462">
            <v>0.99917999999999996</v>
          </cell>
          <cell r="AC4462">
            <v>0.99890999999999996</v>
          </cell>
          <cell r="AD4462">
            <v>0.99873000000000001</v>
          </cell>
          <cell r="AE4462">
            <v>0.99827999999999995</v>
          </cell>
          <cell r="AF4462">
            <v>0.99755000000000005</v>
          </cell>
          <cell r="AG4462">
            <v>0.99643999999999999</v>
          </cell>
          <cell r="AH4462">
            <v>0.99478</v>
          </cell>
          <cell r="AI4462">
            <v>0.99226000000000003</v>
          </cell>
          <cell r="AJ4462">
            <v>0.98953999999999998</v>
          </cell>
          <cell r="AK4462">
            <v>0.98467000000000005</v>
          </cell>
          <cell r="AL4462">
            <v>0.97924999999999995</v>
          </cell>
          <cell r="AM4462">
            <v>0.96606999999999998</v>
          </cell>
          <cell r="AN4462">
            <v>0.93374999999999997</v>
          </cell>
          <cell r="AO4462">
            <v>0.86955000000000005</v>
          </cell>
          <cell r="AP4462">
            <v>0.54668000000000005</v>
          </cell>
        </row>
        <row r="4463">
          <cell r="D4463" t="str">
            <v>胎内市</v>
          </cell>
          <cell r="E4463" t="str">
            <v>2015→2020</v>
          </cell>
          <cell r="F4463">
            <v>0.99922999999999995</v>
          </cell>
          <cell r="G4463">
            <v>0.99951000000000001</v>
          </cell>
          <cell r="H4463">
            <v>0.99890999999999996</v>
          </cell>
          <cell r="I4463">
            <v>0.99744999999999995</v>
          </cell>
          <cell r="J4463">
            <v>0.99673</v>
          </cell>
          <cell r="K4463">
            <v>0.99668999999999996</v>
          </cell>
          <cell r="L4463">
            <v>0.99589000000000005</v>
          </cell>
          <cell r="M4463">
            <v>0.99428000000000005</v>
          </cell>
          <cell r="N4463">
            <v>0.99145000000000005</v>
          </cell>
          <cell r="O4463">
            <v>0.98650000000000004</v>
          </cell>
          <cell r="P4463">
            <v>0.97901000000000005</v>
          </cell>
          <cell r="Q4463">
            <v>0.96877000000000002</v>
          </cell>
          <cell r="R4463">
            <v>0.95011000000000001</v>
          </cell>
          <cell r="S4463">
            <v>0.92227000000000003</v>
          </cell>
          <cell r="T4463">
            <v>0.88248000000000004</v>
          </cell>
          <cell r="U4463">
            <v>0.78752</v>
          </cell>
          <cell r="V4463">
            <v>0.63263000000000003</v>
          </cell>
          <cell r="W4463">
            <v>0.38457000000000002</v>
          </cell>
          <cell r="Y4463">
            <v>0.99922999999999995</v>
          </cell>
          <cell r="Z4463">
            <v>0.99966999999999995</v>
          </cell>
          <cell r="AA4463">
            <v>0.99968000000000001</v>
          </cell>
          <cell r="AB4463">
            <v>0.99888999999999994</v>
          </cell>
          <cell r="AC4463">
            <v>0.99853999999999998</v>
          </cell>
          <cell r="AD4463">
            <v>0.99836999999999998</v>
          </cell>
          <cell r="AE4463">
            <v>0.99777000000000005</v>
          </cell>
          <cell r="AF4463">
            <v>0.99685999999999997</v>
          </cell>
          <cell r="AG4463">
            <v>0.99548999999999999</v>
          </cell>
          <cell r="AH4463">
            <v>0.99348999999999998</v>
          </cell>
          <cell r="AI4463">
            <v>0.99043000000000003</v>
          </cell>
          <cell r="AJ4463">
            <v>0.98716000000000004</v>
          </cell>
          <cell r="AK4463">
            <v>0.98211000000000004</v>
          </cell>
          <cell r="AL4463">
            <v>0.96908000000000005</v>
          </cell>
          <cell r="AM4463">
            <v>0.95094000000000001</v>
          </cell>
          <cell r="AN4463">
            <v>0.90520999999999996</v>
          </cell>
          <cell r="AO4463">
            <v>0.80051000000000005</v>
          </cell>
          <cell r="AP4463">
            <v>0.47893999999999998</v>
          </cell>
        </row>
        <row r="4464">
          <cell r="D4464" t="str">
            <v>胎内市</v>
          </cell>
          <cell r="E4464" t="str">
            <v>2020→2025</v>
          </cell>
          <cell r="F4464">
            <v>0.99931999999999999</v>
          </cell>
          <cell r="G4464">
            <v>0.99955000000000005</v>
          </cell>
          <cell r="H4464">
            <v>0.999</v>
          </cell>
          <cell r="I4464">
            <v>0.99761999999999995</v>
          </cell>
          <cell r="J4464">
            <v>0.99687000000000003</v>
          </cell>
          <cell r="K4464">
            <v>0.99683999999999995</v>
          </cell>
          <cell r="L4464">
            <v>0.99612000000000001</v>
          </cell>
          <cell r="M4464">
            <v>0.99460999999999999</v>
          </cell>
          <cell r="N4464">
            <v>0.99194000000000004</v>
          </cell>
          <cell r="O4464">
            <v>0.98726999999999998</v>
          </cell>
          <cell r="P4464">
            <v>0.98016000000000003</v>
          </cell>
          <cell r="Q4464">
            <v>0.97045000000000003</v>
          </cell>
          <cell r="R4464">
            <v>0.95248999999999995</v>
          </cell>
          <cell r="S4464">
            <v>0.92578000000000005</v>
          </cell>
          <cell r="T4464">
            <v>0.88841999999999999</v>
          </cell>
          <cell r="U4464">
            <v>0.79857999999999996</v>
          </cell>
          <cell r="V4464">
            <v>0.64807000000000003</v>
          </cell>
          <cell r="W4464">
            <v>0.39704</v>
          </cell>
          <cell r="Y4464">
            <v>0.99929999999999997</v>
          </cell>
          <cell r="Z4464">
            <v>0.99970000000000003</v>
          </cell>
          <cell r="AA4464">
            <v>0.99970000000000003</v>
          </cell>
          <cell r="AB4464">
            <v>0.99895999999999996</v>
          </cell>
          <cell r="AC4464">
            <v>0.99861999999999995</v>
          </cell>
          <cell r="AD4464">
            <v>0.99846000000000001</v>
          </cell>
          <cell r="AE4464">
            <v>0.99789000000000005</v>
          </cell>
          <cell r="AF4464">
            <v>0.99702999999999997</v>
          </cell>
          <cell r="AG4464">
            <v>0.99573999999999996</v>
          </cell>
          <cell r="AH4464">
            <v>0.99382999999999999</v>
          </cell>
          <cell r="AI4464">
            <v>0.99090999999999996</v>
          </cell>
          <cell r="AJ4464">
            <v>0.98780999999999997</v>
          </cell>
          <cell r="AK4464">
            <v>0.98316000000000003</v>
          </cell>
          <cell r="AL4464">
            <v>0.97070999999999996</v>
          </cell>
          <cell r="AM4464">
            <v>0.95423000000000002</v>
          </cell>
          <cell r="AN4464">
            <v>0.91217999999999999</v>
          </cell>
          <cell r="AO4464">
            <v>0.81328</v>
          </cell>
          <cell r="AP4464">
            <v>0.49182999999999999</v>
          </cell>
        </row>
        <row r="4465">
          <cell r="D4465" t="str">
            <v>胎内市</v>
          </cell>
          <cell r="E4465" t="str">
            <v>2025→2030</v>
          </cell>
          <cell r="F4465">
            <v>0.99939</v>
          </cell>
          <cell r="G4465">
            <v>0.99958999999999998</v>
          </cell>
          <cell r="H4465">
            <v>0.99909000000000003</v>
          </cell>
          <cell r="I4465">
            <v>0.99778</v>
          </cell>
          <cell r="J4465">
            <v>0.99700999999999995</v>
          </cell>
          <cell r="K4465">
            <v>0.99697999999999998</v>
          </cell>
          <cell r="L4465">
            <v>0.99633000000000005</v>
          </cell>
          <cell r="M4465">
            <v>0.99492000000000003</v>
          </cell>
          <cell r="N4465">
            <v>0.99238999999999999</v>
          </cell>
          <cell r="O4465">
            <v>0.98797000000000001</v>
          </cell>
          <cell r="P4465">
            <v>0.98119999999999996</v>
          </cell>
          <cell r="Q4465">
            <v>0.97192999999999996</v>
          </cell>
          <cell r="R4465">
            <v>0.9546</v>
          </cell>
          <cell r="S4465">
            <v>0.92884</v>
          </cell>
          <cell r="T4465">
            <v>0.89337999999999995</v>
          </cell>
          <cell r="U4465">
            <v>0.80827000000000004</v>
          </cell>
          <cell r="V4465">
            <v>0.66200000000000003</v>
          </cell>
          <cell r="W4465">
            <v>0.40827999999999998</v>
          </cell>
          <cell r="Y4465">
            <v>0.99936999999999998</v>
          </cell>
          <cell r="Z4465">
            <v>0.99973000000000001</v>
          </cell>
          <cell r="AA4465">
            <v>0.99970999999999999</v>
          </cell>
          <cell r="AB4465">
            <v>0.99902000000000002</v>
          </cell>
          <cell r="AC4465">
            <v>0.99870000000000003</v>
          </cell>
          <cell r="AD4465">
            <v>0.99853999999999998</v>
          </cell>
          <cell r="AE4465">
            <v>0.99800999999999995</v>
          </cell>
          <cell r="AF4465">
            <v>0.99717999999999996</v>
          </cell>
          <cell r="AG4465">
            <v>0.99595</v>
          </cell>
          <cell r="AH4465">
            <v>0.99412999999999996</v>
          </cell>
          <cell r="AI4465">
            <v>0.99131999999999998</v>
          </cell>
          <cell r="AJ4465">
            <v>0.98836999999999997</v>
          </cell>
          <cell r="AK4465">
            <v>0.98404999999999998</v>
          </cell>
          <cell r="AL4465">
            <v>0.97208000000000006</v>
          </cell>
          <cell r="AM4465">
            <v>0.95691000000000004</v>
          </cell>
          <cell r="AN4465">
            <v>0.91803999999999997</v>
          </cell>
          <cell r="AO4465">
            <v>0.82420000000000004</v>
          </cell>
          <cell r="AP4465">
            <v>0.50329000000000002</v>
          </cell>
        </row>
        <row r="4466">
          <cell r="D4466" t="str">
            <v>胎内市</v>
          </cell>
          <cell r="E4466" t="str">
            <v>2030→2035</v>
          </cell>
          <cell r="F4466">
            <v>0.99944999999999995</v>
          </cell>
          <cell r="G4466">
            <v>0.99963000000000002</v>
          </cell>
          <cell r="H4466">
            <v>0.99917</v>
          </cell>
          <cell r="I4466">
            <v>0.99792000000000003</v>
          </cell>
          <cell r="J4466">
            <v>0.99714000000000003</v>
          </cell>
          <cell r="K4466">
            <v>0.99711000000000005</v>
          </cell>
          <cell r="L4466">
            <v>0.99651999999999996</v>
          </cell>
          <cell r="M4466">
            <v>0.99519000000000002</v>
          </cell>
          <cell r="N4466">
            <v>0.99278999999999995</v>
          </cell>
          <cell r="O4466">
            <v>0.98858999999999997</v>
          </cell>
          <cell r="P4466">
            <v>0.98211999999999999</v>
          </cell>
          <cell r="Q4466">
            <v>0.97321000000000002</v>
          </cell>
          <cell r="R4466">
            <v>0.95643999999999996</v>
          </cell>
          <cell r="S4466">
            <v>0.93154999999999999</v>
          </cell>
          <cell r="T4466">
            <v>0.89766000000000001</v>
          </cell>
          <cell r="U4466">
            <v>0.81677999999999995</v>
          </cell>
          <cell r="V4466">
            <v>0.67462999999999995</v>
          </cell>
          <cell r="W4466">
            <v>0.41861999999999999</v>
          </cell>
          <cell r="Y4466">
            <v>0.99941999999999998</v>
          </cell>
          <cell r="Z4466">
            <v>0.99975000000000003</v>
          </cell>
          <cell r="AA4466">
            <v>0.99972000000000005</v>
          </cell>
          <cell r="AB4466">
            <v>0.99907999999999997</v>
          </cell>
          <cell r="AC4466">
            <v>0.99878</v>
          </cell>
          <cell r="AD4466">
            <v>0.99861</v>
          </cell>
          <cell r="AE4466">
            <v>0.99811000000000005</v>
          </cell>
          <cell r="AF4466">
            <v>0.99731999999999998</v>
          </cell>
          <cell r="AG4466">
            <v>0.99614000000000003</v>
          </cell>
          <cell r="AH4466">
            <v>0.99438000000000004</v>
          </cell>
          <cell r="AI4466">
            <v>0.99168000000000001</v>
          </cell>
          <cell r="AJ4466">
            <v>0.98882999999999999</v>
          </cell>
          <cell r="AK4466">
            <v>0.98480999999999996</v>
          </cell>
          <cell r="AL4466">
            <v>0.97323000000000004</v>
          </cell>
          <cell r="AM4466">
            <v>0.95911000000000002</v>
          </cell>
          <cell r="AN4466">
            <v>0.92298000000000002</v>
          </cell>
          <cell r="AO4466">
            <v>0.83364000000000005</v>
          </cell>
          <cell r="AP4466">
            <v>0.51363999999999999</v>
          </cell>
        </row>
        <row r="4467">
          <cell r="D4467" t="str">
            <v>胎内市</v>
          </cell>
          <cell r="E4467" t="str">
            <v>2035→2040</v>
          </cell>
          <cell r="F4467">
            <v>0.99950000000000006</v>
          </cell>
          <cell r="G4467">
            <v>0.99965999999999999</v>
          </cell>
          <cell r="H4467">
            <v>0.99924000000000002</v>
          </cell>
          <cell r="I4467">
            <v>0.99804999999999999</v>
          </cell>
          <cell r="J4467">
            <v>0.99726000000000004</v>
          </cell>
          <cell r="K4467">
            <v>0.99724000000000002</v>
          </cell>
          <cell r="L4467">
            <v>0.99668999999999996</v>
          </cell>
          <cell r="M4467">
            <v>0.99543999999999999</v>
          </cell>
          <cell r="N4467">
            <v>0.99314999999999998</v>
          </cell>
          <cell r="O4467">
            <v>0.98914000000000002</v>
          </cell>
          <cell r="P4467">
            <v>0.98294000000000004</v>
          </cell>
          <cell r="Q4467">
            <v>0.97431999999999996</v>
          </cell>
          <cell r="R4467">
            <v>0.95804999999999996</v>
          </cell>
          <cell r="S4467">
            <v>0.93394999999999995</v>
          </cell>
          <cell r="T4467">
            <v>0.90137999999999996</v>
          </cell>
          <cell r="U4467">
            <v>0.82428999999999997</v>
          </cell>
          <cell r="V4467">
            <v>0.68611</v>
          </cell>
          <cell r="W4467">
            <v>0.42814999999999998</v>
          </cell>
          <cell r="Y4467">
            <v>0.99946999999999997</v>
          </cell>
          <cell r="Z4467">
            <v>0.99977000000000005</v>
          </cell>
          <cell r="AA4467">
            <v>0.99973000000000001</v>
          </cell>
          <cell r="AB4467">
            <v>0.99912999999999996</v>
          </cell>
          <cell r="AC4467">
            <v>0.99883999999999995</v>
          </cell>
          <cell r="AD4467">
            <v>0.99868000000000001</v>
          </cell>
          <cell r="AE4467">
            <v>0.99819999999999998</v>
          </cell>
          <cell r="AF4467">
            <v>0.99743999999999999</v>
          </cell>
          <cell r="AG4467">
            <v>0.99629999999999996</v>
          </cell>
          <cell r="AH4467">
            <v>0.99460000000000004</v>
          </cell>
          <cell r="AI4467">
            <v>0.99199000000000004</v>
          </cell>
          <cell r="AJ4467">
            <v>0.98921999999999999</v>
          </cell>
          <cell r="AK4467">
            <v>0.98545000000000005</v>
          </cell>
          <cell r="AL4467">
            <v>0.97419</v>
          </cell>
          <cell r="AM4467">
            <v>0.96094000000000002</v>
          </cell>
          <cell r="AN4467">
            <v>0.92715999999999998</v>
          </cell>
          <cell r="AO4467">
            <v>0.84184999999999999</v>
          </cell>
          <cell r="AP4467">
            <v>0.52300000000000002</v>
          </cell>
        </row>
        <row r="4468">
          <cell r="D4468" t="str">
            <v>胎内市</v>
          </cell>
          <cell r="E4468" t="str">
            <v>2040→2045</v>
          </cell>
          <cell r="F4468">
            <v>0.99953999999999998</v>
          </cell>
          <cell r="G4468">
            <v>0.99970000000000003</v>
          </cell>
          <cell r="H4468">
            <v>0.99929999999999997</v>
          </cell>
          <cell r="I4468">
            <v>0.99817</v>
          </cell>
          <cell r="J4468">
            <v>0.99736999999999998</v>
          </cell>
          <cell r="K4468">
            <v>0.99734999999999996</v>
          </cell>
          <cell r="L4468">
            <v>0.99685000000000001</v>
          </cell>
          <cell r="M4468">
            <v>0.99567000000000005</v>
          </cell>
          <cell r="N4468">
            <v>0.99346999999999996</v>
          </cell>
          <cell r="O4468">
            <v>0.98963999999999996</v>
          </cell>
          <cell r="P4468">
            <v>0.98368</v>
          </cell>
          <cell r="Q4468">
            <v>0.97529999999999994</v>
          </cell>
          <cell r="R4468">
            <v>0.95947000000000005</v>
          </cell>
          <cell r="S4468">
            <v>0.93610000000000004</v>
          </cell>
          <cell r="T4468">
            <v>0.90464999999999995</v>
          </cell>
          <cell r="U4468">
            <v>0.83094000000000001</v>
          </cell>
          <cell r="V4468">
            <v>0.69659000000000004</v>
          </cell>
          <cell r="W4468">
            <v>0.43697000000000003</v>
          </cell>
          <cell r="Y4468">
            <v>0.99951999999999996</v>
          </cell>
          <cell r="Z4468">
            <v>0.99978999999999996</v>
          </cell>
          <cell r="AA4468">
            <v>0.99973999999999996</v>
          </cell>
          <cell r="AB4468">
            <v>0.99917999999999996</v>
          </cell>
          <cell r="AC4468">
            <v>0.99890999999999996</v>
          </cell>
          <cell r="AD4468">
            <v>0.99873000000000001</v>
          </cell>
          <cell r="AE4468">
            <v>0.99827999999999995</v>
          </cell>
          <cell r="AF4468">
            <v>0.99755000000000005</v>
          </cell>
          <cell r="AG4468">
            <v>0.99643999999999999</v>
          </cell>
          <cell r="AH4468">
            <v>0.99478</v>
          </cell>
          <cell r="AI4468">
            <v>0.99226000000000003</v>
          </cell>
          <cell r="AJ4468">
            <v>0.98953999999999998</v>
          </cell>
          <cell r="AK4468">
            <v>0.98597999999999997</v>
          </cell>
          <cell r="AL4468">
            <v>0.97502</v>
          </cell>
          <cell r="AM4468">
            <v>0.96245000000000003</v>
          </cell>
          <cell r="AN4468">
            <v>0.93071000000000004</v>
          </cell>
          <cell r="AO4468">
            <v>0.84901000000000004</v>
          </cell>
          <cell r="AP4468">
            <v>0.53151000000000004</v>
          </cell>
        </row>
        <row r="4469">
          <cell r="D4469" t="str">
            <v>聖籠町</v>
          </cell>
          <cell r="E4469" t="str">
            <v>2015→2020</v>
          </cell>
          <cell r="F4469">
            <v>0.99922999999999995</v>
          </cell>
          <cell r="G4469">
            <v>0.99951000000000001</v>
          </cell>
          <cell r="H4469">
            <v>0.99890999999999996</v>
          </cell>
          <cell r="I4469">
            <v>0.99744999999999995</v>
          </cell>
          <cell r="J4469">
            <v>0.99673</v>
          </cell>
          <cell r="K4469">
            <v>0.99668999999999996</v>
          </cell>
          <cell r="L4469">
            <v>0.99589000000000005</v>
          </cell>
          <cell r="M4469">
            <v>0.99428000000000005</v>
          </cell>
          <cell r="N4469">
            <v>0.99145000000000005</v>
          </cell>
          <cell r="O4469">
            <v>0.98650000000000004</v>
          </cell>
          <cell r="P4469">
            <v>0.97901000000000005</v>
          </cell>
          <cell r="Q4469">
            <v>0.96877000000000002</v>
          </cell>
          <cell r="R4469">
            <v>0.94452999999999998</v>
          </cell>
          <cell r="S4469">
            <v>0.91630999999999996</v>
          </cell>
          <cell r="T4469">
            <v>0.87341000000000002</v>
          </cell>
          <cell r="U4469">
            <v>0.79235999999999995</v>
          </cell>
          <cell r="V4469">
            <v>0.64761000000000002</v>
          </cell>
          <cell r="W4469">
            <v>0.38505</v>
          </cell>
          <cell r="Y4469">
            <v>0.99922999999999995</v>
          </cell>
          <cell r="Z4469">
            <v>0.99966999999999995</v>
          </cell>
          <cell r="AA4469">
            <v>0.99968000000000001</v>
          </cell>
          <cell r="AB4469">
            <v>0.99888999999999994</v>
          </cell>
          <cell r="AC4469">
            <v>0.99853999999999998</v>
          </cell>
          <cell r="AD4469">
            <v>0.99836999999999998</v>
          </cell>
          <cell r="AE4469">
            <v>0.99777000000000005</v>
          </cell>
          <cell r="AF4469">
            <v>0.99685999999999997</v>
          </cell>
          <cell r="AG4469">
            <v>0.99548999999999999</v>
          </cell>
          <cell r="AH4469">
            <v>0.99348999999999998</v>
          </cell>
          <cell r="AI4469">
            <v>0.99043000000000003</v>
          </cell>
          <cell r="AJ4469">
            <v>0.98716000000000004</v>
          </cell>
          <cell r="AK4469">
            <v>0.98118000000000005</v>
          </cell>
          <cell r="AL4469">
            <v>0.97287000000000001</v>
          </cell>
          <cell r="AM4469">
            <v>0.95265</v>
          </cell>
          <cell r="AN4469">
            <v>0.90312999999999999</v>
          </cell>
          <cell r="AO4469">
            <v>0.79383000000000004</v>
          </cell>
          <cell r="AP4469">
            <v>0.48305999999999999</v>
          </cell>
        </row>
        <row r="4470">
          <cell r="D4470" t="str">
            <v>聖籠町</v>
          </cell>
          <cell r="E4470" t="str">
            <v>2020→2025</v>
          </cell>
          <cell r="F4470">
            <v>0.99931999999999999</v>
          </cell>
          <cell r="G4470">
            <v>0.99955000000000005</v>
          </cell>
          <cell r="H4470">
            <v>0.999</v>
          </cell>
          <cell r="I4470">
            <v>0.99761999999999995</v>
          </cell>
          <cell r="J4470">
            <v>0.99687000000000003</v>
          </cell>
          <cell r="K4470">
            <v>0.99683999999999995</v>
          </cell>
          <cell r="L4470">
            <v>0.99612000000000001</v>
          </cell>
          <cell r="M4470">
            <v>0.99460999999999999</v>
          </cell>
          <cell r="N4470">
            <v>0.99194000000000004</v>
          </cell>
          <cell r="O4470">
            <v>0.98726999999999998</v>
          </cell>
          <cell r="P4470">
            <v>0.98016000000000003</v>
          </cell>
          <cell r="Q4470">
            <v>0.97045000000000003</v>
          </cell>
          <cell r="R4470">
            <v>0.94689999999999996</v>
          </cell>
          <cell r="S4470">
            <v>0.91981000000000002</v>
          </cell>
          <cell r="T4470">
            <v>0.87929000000000002</v>
          </cell>
          <cell r="U4470">
            <v>0.80349000000000004</v>
          </cell>
          <cell r="V4470">
            <v>0.66341000000000006</v>
          </cell>
          <cell r="W4470">
            <v>0.39754</v>
          </cell>
          <cell r="Y4470">
            <v>0.99929999999999997</v>
          </cell>
          <cell r="Z4470">
            <v>0.99970000000000003</v>
          </cell>
          <cell r="AA4470">
            <v>0.99970000000000003</v>
          </cell>
          <cell r="AB4470">
            <v>0.99895999999999996</v>
          </cell>
          <cell r="AC4470">
            <v>0.99861999999999995</v>
          </cell>
          <cell r="AD4470">
            <v>0.99846000000000001</v>
          </cell>
          <cell r="AE4470">
            <v>0.99789000000000005</v>
          </cell>
          <cell r="AF4470">
            <v>0.99702999999999997</v>
          </cell>
          <cell r="AG4470">
            <v>0.99573999999999996</v>
          </cell>
          <cell r="AH4470">
            <v>0.99382999999999999</v>
          </cell>
          <cell r="AI4470">
            <v>0.99090999999999996</v>
          </cell>
          <cell r="AJ4470">
            <v>0.98780999999999997</v>
          </cell>
          <cell r="AK4470">
            <v>0.98223000000000005</v>
          </cell>
          <cell r="AL4470">
            <v>0.97450000000000003</v>
          </cell>
          <cell r="AM4470">
            <v>0.95594999999999997</v>
          </cell>
          <cell r="AN4470">
            <v>0.91008</v>
          </cell>
          <cell r="AO4470">
            <v>0.80649000000000004</v>
          </cell>
          <cell r="AP4470">
            <v>0.49606</v>
          </cell>
        </row>
        <row r="4471">
          <cell r="D4471" t="str">
            <v>聖籠町</v>
          </cell>
          <cell r="E4471" t="str">
            <v>2025→2030</v>
          </cell>
          <cell r="F4471">
            <v>0.99939</v>
          </cell>
          <cell r="G4471">
            <v>0.99958999999999998</v>
          </cell>
          <cell r="H4471">
            <v>0.99909000000000003</v>
          </cell>
          <cell r="I4471">
            <v>0.99778</v>
          </cell>
          <cell r="J4471">
            <v>0.99700999999999995</v>
          </cell>
          <cell r="K4471">
            <v>0.99697999999999998</v>
          </cell>
          <cell r="L4471">
            <v>0.99633000000000005</v>
          </cell>
          <cell r="M4471">
            <v>0.99492000000000003</v>
          </cell>
          <cell r="N4471">
            <v>0.99238999999999999</v>
          </cell>
          <cell r="O4471">
            <v>0.98797000000000001</v>
          </cell>
          <cell r="P4471">
            <v>0.98119999999999996</v>
          </cell>
          <cell r="Q4471">
            <v>0.97192999999999996</v>
          </cell>
          <cell r="R4471">
            <v>0.94899</v>
          </cell>
          <cell r="S4471">
            <v>0.92283999999999999</v>
          </cell>
          <cell r="T4471">
            <v>0.88419999999999999</v>
          </cell>
          <cell r="U4471">
            <v>0.81323000000000001</v>
          </cell>
          <cell r="V4471">
            <v>0.67766999999999999</v>
          </cell>
          <cell r="W4471">
            <v>0.40878999999999999</v>
          </cell>
          <cell r="Y4471">
            <v>0.99936999999999998</v>
          </cell>
          <cell r="Z4471">
            <v>0.99973000000000001</v>
          </cell>
          <cell r="AA4471">
            <v>0.99970999999999999</v>
          </cell>
          <cell r="AB4471">
            <v>0.99902000000000002</v>
          </cell>
          <cell r="AC4471">
            <v>0.99870000000000003</v>
          </cell>
          <cell r="AD4471">
            <v>0.99853999999999998</v>
          </cell>
          <cell r="AE4471">
            <v>0.99800999999999995</v>
          </cell>
          <cell r="AF4471">
            <v>0.99717999999999996</v>
          </cell>
          <cell r="AG4471">
            <v>0.99595</v>
          </cell>
          <cell r="AH4471">
            <v>0.99412999999999996</v>
          </cell>
          <cell r="AI4471">
            <v>0.99131999999999998</v>
          </cell>
          <cell r="AJ4471">
            <v>0.98836999999999997</v>
          </cell>
          <cell r="AK4471">
            <v>0.98311999999999999</v>
          </cell>
          <cell r="AL4471">
            <v>0.97587999999999997</v>
          </cell>
          <cell r="AM4471">
            <v>0.95864000000000005</v>
          </cell>
          <cell r="AN4471">
            <v>0.91593000000000002</v>
          </cell>
          <cell r="AO4471">
            <v>0.81732000000000005</v>
          </cell>
          <cell r="AP4471">
            <v>0.50761999999999996</v>
          </cell>
        </row>
        <row r="4472">
          <cell r="D4472" t="str">
            <v>聖籠町</v>
          </cell>
          <cell r="E4472" t="str">
            <v>2030→2035</v>
          </cell>
          <cell r="F4472">
            <v>0.99944999999999995</v>
          </cell>
          <cell r="G4472">
            <v>0.99963000000000002</v>
          </cell>
          <cell r="H4472">
            <v>0.99917</v>
          </cell>
          <cell r="I4472">
            <v>0.99792000000000003</v>
          </cell>
          <cell r="J4472">
            <v>0.99714000000000003</v>
          </cell>
          <cell r="K4472">
            <v>0.99711000000000005</v>
          </cell>
          <cell r="L4472">
            <v>0.99651999999999996</v>
          </cell>
          <cell r="M4472">
            <v>0.99519000000000002</v>
          </cell>
          <cell r="N4472">
            <v>0.99278999999999995</v>
          </cell>
          <cell r="O4472">
            <v>0.98858999999999997</v>
          </cell>
          <cell r="P4472">
            <v>0.98211999999999999</v>
          </cell>
          <cell r="Q4472">
            <v>0.97321000000000002</v>
          </cell>
          <cell r="R4472">
            <v>0.95082</v>
          </cell>
          <cell r="S4472">
            <v>0.92552999999999996</v>
          </cell>
          <cell r="T4472">
            <v>0.88843000000000005</v>
          </cell>
          <cell r="U4472">
            <v>0.82179000000000002</v>
          </cell>
          <cell r="V4472">
            <v>0.69059999999999999</v>
          </cell>
          <cell r="W4472">
            <v>0.41915000000000002</v>
          </cell>
          <cell r="Y4472">
            <v>0.99941999999999998</v>
          </cell>
          <cell r="Z4472">
            <v>0.99975000000000003</v>
          </cell>
          <cell r="AA4472">
            <v>0.99972000000000005</v>
          </cell>
          <cell r="AB4472">
            <v>0.99907999999999997</v>
          </cell>
          <cell r="AC4472">
            <v>0.99878</v>
          </cell>
          <cell r="AD4472">
            <v>0.99861</v>
          </cell>
          <cell r="AE4472">
            <v>0.99811000000000005</v>
          </cell>
          <cell r="AF4472">
            <v>0.99731999999999998</v>
          </cell>
          <cell r="AG4472">
            <v>0.99614000000000003</v>
          </cell>
          <cell r="AH4472">
            <v>0.99438000000000004</v>
          </cell>
          <cell r="AI4472">
            <v>0.99168000000000001</v>
          </cell>
          <cell r="AJ4472">
            <v>0.98882999999999999</v>
          </cell>
          <cell r="AK4472">
            <v>0.98387000000000002</v>
          </cell>
          <cell r="AL4472">
            <v>0.97702999999999995</v>
          </cell>
          <cell r="AM4472">
            <v>0.96084000000000003</v>
          </cell>
          <cell r="AN4472">
            <v>0.92086999999999997</v>
          </cell>
          <cell r="AO4472">
            <v>0.82669000000000004</v>
          </cell>
          <cell r="AP4472">
            <v>0.51805000000000001</v>
          </cell>
        </row>
        <row r="4473">
          <cell r="D4473" t="str">
            <v>聖籠町</v>
          </cell>
          <cell r="E4473" t="str">
            <v>2035→2040</v>
          </cell>
          <cell r="F4473">
            <v>0.99950000000000006</v>
          </cell>
          <cell r="G4473">
            <v>0.99965999999999999</v>
          </cell>
          <cell r="H4473">
            <v>0.99924000000000002</v>
          </cell>
          <cell r="I4473">
            <v>0.99804999999999999</v>
          </cell>
          <cell r="J4473">
            <v>0.99726000000000004</v>
          </cell>
          <cell r="K4473">
            <v>0.99724000000000002</v>
          </cell>
          <cell r="L4473">
            <v>0.99668999999999996</v>
          </cell>
          <cell r="M4473">
            <v>0.99543999999999999</v>
          </cell>
          <cell r="N4473">
            <v>0.99314999999999998</v>
          </cell>
          <cell r="O4473">
            <v>0.98914000000000002</v>
          </cell>
          <cell r="P4473">
            <v>0.98294000000000004</v>
          </cell>
          <cell r="Q4473">
            <v>0.97431999999999996</v>
          </cell>
          <cell r="R4473">
            <v>0.95243</v>
          </cell>
          <cell r="S4473">
            <v>0.92791999999999997</v>
          </cell>
          <cell r="T4473">
            <v>0.89212000000000002</v>
          </cell>
          <cell r="U4473">
            <v>0.82935000000000003</v>
          </cell>
          <cell r="V4473">
            <v>0.70235999999999998</v>
          </cell>
          <cell r="W4473">
            <v>0.42869000000000002</v>
          </cell>
          <cell r="Y4473">
            <v>0.99946999999999997</v>
          </cell>
          <cell r="Z4473">
            <v>0.99977000000000005</v>
          </cell>
          <cell r="AA4473">
            <v>0.99973000000000001</v>
          </cell>
          <cell r="AB4473">
            <v>0.99912999999999996</v>
          </cell>
          <cell r="AC4473">
            <v>0.99883999999999995</v>
          </cell>
          <cell r="AD4473">
            <v>0.99868000000000001</v>
          </cell>
          <cell r="AE4473">
            <v>0.99819999999999998</v>
          </cell>
          <cell r="AF4473">
            <v>0.99743999999999999</v>
          </cell>
          <cell r="AG4473">
            <v>0.99629999999999996</v>
          </cell>
          <cell r="AH4473">
            <v>0.99460000000000004</v>
          </cell>
          <cell r="AI4473">
            <v>0.99199000000000004</v>
          </cell>
          <cell r="AJ4473">
            <v>0.98921999999999999</v>
          </cell>
          <cell r="AK4473">
            <v>0.98451</v>
          </cell>
          <cell r="AL4473">
            <v>0.97799999999999998</v>
          </cell>
          <cell r="AM4473">
            <v>0.96267000000000003</v>
          </cell>
          <cell r="AN4473">
            <v>0.92503000000000002</v>
          </cell>
          <cell r="AO4473">
            <v>0.83482999999999996</v>
          </cell>
          <cell r="AP4473">
            <v>0.52749999999999997</v>
          </cell>
        </row>
        <row r="4474">
          <cell r="D4474" t="str">
            <v>聖籠町</v>
          </cell>
          <cell r="E4474" t="str">
            <v>2040→2045</v>
          </cell>
          <cell r="F4474">
            <v>0.99953999999999998</v>
          </cell>
          <cell r="G4474">
            <v>0.99970000000000003</v>
          </cell>
          <cell r="H4474">
            <v>0.99929999999999997</v>
          </cell>
          <cell r="I4474">
            <v>0.99817</v>
          </cell>
          <cell r="J4474">
            <v>0.99736999999999998</v>
          </cell>
          <cell r="K4474">
            <v>0.99734999999999996</v>
          </cell>
          <cell r="L4474">
            <v>0.99685000000000001</v>
          </cell>
          <cell r="M4474">
            <v>0.99567000000000005</v>
          </cell>
          <cell r="N4474">
            <v>0.99346999999999996</v>
          </cell>
          <cell r="O4474">
            <v>0.98963999999999996</v>
          </cell>
          <cell r="P4474">
            <v>0.98368</v>
          </cell>
          <cell r="Q4474">
            <v>0.97529999999999994</v>
          </cell>
          <cell r="R4474">
            <v>0.95384000000000002</v>
          </cell>
          <cell r="S4474">
            <v>0.93005000000000004</v>
          </cell>
          <cell r="T4474">
            <v>0.89534999999999998</v>
          </cell>
          <cell r="U4474">
            <v>0.83604000000000001</v>
          </cell>
          <cell r="V4474">
            <v>0.71308000000000005</v>
          </cell>
          <cell r="W4474">
            <v>0.43751000000000001</v>
          </cell>
          <cell r="Y4474">
            <v>0.99951999999999996</v>
          </cell>
          <cell r="Z4474">
            <v>0.99978999999999996</v>
          </cell>
          <cell r="AA4474">
            <v>0.99973999999999996</v>
          </cell>
          <cell r="AB4474">
            <v>0.99917999999999996</v>
          </cell>
          <cell r="AC4474">
            <v>0.99890999999999996</v>
          </cell>
          <cell r="AD4474">
            <v>0.99873000000000001</v>
          </cell>
          <cell r="AE4474">
            <v>0.99827999999999995</v>
          </cell>
          <cell r="AF4474">
            <v>0.99755000000000005</v>
          </cell>
          <cell r="AG4474">
            <v>0.99643999999999999</v>
          </cell>
          <cell r="AH4474">
            <v>0.99478</v>
          </cell>
          <cell r="AI4474">
            <v>0.99226000000000003</v>
          </cell>
          <cell r="AJ4474">
            <v>0.98953999999999998</v>
          </cell>
          <cell r="AK4474">
            <v>0.98504000000000003</v>
          </cell>
          <cell r="AL4474">
            <v>0.97882999999999998</v>
          </cell>
          <cell r="AM4474">
            <v>0.96418000000000004</v>
          </cell>
          <cell r="AN4474">
            <v>0.92857000000000001</v>
          </cell>
          <cell r="AO4474">
            <v>0.84192999999999996</v>
          </cell>
          <cell r="AP4474">
            <v>0.53608</v>
          </cell>
        </row>
        <row r="4475">
          <cell r="D4475" t="str">
            <v>弥彦村</v>
          </cell>
          <cell r="E4475" t="str">
            <v>2015→2020</v>
          </cell>
          <cell r="F4475">
            <v>0.99922999999999995</v>
          </cell>
          <cell r="G4475">
            <v>0.99951000000000001</v>
          </cell>
          <cell r="H4475">
            <v>0.99890999999999996</v>
          </cell>
          <cell r="I4475">
            <v>0.99744999999999995</v>
          </cell>
          <cell r="J4475">
            <v>0.99673</v>
          </cell>
          <cell r="K4475">
            <v>0.99668999999999996</v>
          </cell>
          <cell r="L4475">
            <v>0.99589000000000005</v>
          </cell>
          <cell r="M4475">
            <v>0.99428000000000005</v>
          </cell>
          <cell r="N4475">
            <v>0.99145000000000005</v>
          </cell>
          <cell r="O4475">
            <v>0.98650000000000004</v>
          </cell>
          <cell r="P4475">
            <v>0.97901000000000005</v>
          </cell>
          <cell r="Q4475">
            <v>0.96877000000000002</v>
          </cell>
          <cell r="R4475">
            <v>0.94933000000000001</v>
          </cell>
          <cell r="S4475">
            <v>0.92166999999999999</v>
          </cell>
          <cell r="T4475">
            <v>0.88117999999999996</v>
          </cell>
          <cell r="U4475">
            <v>0.78959000000000001</v>
          </cell>
          <cell r="V4475">
            <v>0.62897000000000003</v>
          </cell>
          <cell r="W4475">
            <v>0.37812000000000001</v>
          </cell>
          <cell r="Y4475">
            <v>0.99922999999999995</v>
          </cell>
          <cell r="Z4475">
            <v>0.99966999999999995</v>
          </cell>
          <cell r="AA4475">
            <v>0.99968000000000001</v>
          </cell>
          <cell r="AB4475">
            <v>0.99888999999999994</v>
          </cell>
          <cell r="AC4475">
            <v>0.99853999999999998</v>
          </cell>
          <cell r="AD4475">
            <v>0.99836999999999998</v>
          </cell>
          <cell r="AE4475">
            <v>0.99777000000000005</v>
          </cell>
          <cell r="AF4475">
            <v>0.99685999999999997</v>
          </cell>
          <cell r="AG4475">
            <v>0.99548999999999999</v>
          </cell>
          <cell r="AH4475">
            <v>0.99348999999999998</v>
          </cell>
          <cell r="AI4475">
            <v>0.99043000000000003</v>
          </cell>
          <cell r="AJ4475">
            <v>0.98716000000000004</v>
          </cell>
          <cell r="AK4475">
            <v>0.98028000000000004</v>
          </cell>
          <cell r="AL4475">
            <v>0.96916000000000002</v>
          </cell>
          <cell r="AM4475">
            <v>0.94777999999999996</v>
          </cell>
          <cell r="AN4475">
            <v>0.89910000000000001</v>
          </cell>
          <cell r="AO4475">
            <v>0.79435</v>
          </cell>
          <cell r="AP4475">
            <v>0.48335</v>
          </cell>
        </row>
        <row r="4476">
          <cell r="D4476" t="str">
            <v>弥彦村</v>
          </cell>
          <cell r="E4476" t="str">
            <v>2020→2025</v>
          </cell>
          <cell r="F4476">
            <v>0.99931999999999999</v>
          </cell>
          <cell r="G4476">
            <v>0.99955000000000005</v>
          </cell>
          <cell r="H4476">
            <v>0.999</v>
          </cell>
          <cell r="I4476">
            <v>0.99761999999999995</v>
          </cell>
          <cell r="J4476">
            <v>0.99687000000000003</v>
          </cell>
          <cell r="K4476">
            <v>0.99683999999999995</v>
          </cell>
          <cell r="L4476">
            <v>0.99612000000000001</v>
          </cell>
          <cell r="M4476">
            <v>0.99460999999999999</v>
          </cell>
          <cell r="N4476">
            <v>0.99194000000000004</v>
          </cell>
          <cell r="O4476">
            <v>0.98726999999999998</v>
          </cell>
          <cell r="P4476">
            <v>0.98016000000000003</v>
          </cell>
          <cell r="Q4476">
            <v>0.97045000000000003</v>
          </cell>
          <cell r="R4476">
            <v>0.95170999999999994</v>
          </cell>
          <cell r="S4476">
            <v>0.92518</v>
          </cell>
          <cell r="T4476">
            <v>0.88712000000000002</v>
          </cell>
          <cell r="U4476">
            <v>0.80069000000000001</v>
          </cell>
          <cell r="V4476">
            <v>0.64432</v>
          </cell>
          <cell r="W4476">
            <v>0.39038</v>
          </cell>
          <cell r="Y4476">
            <v>0.99929999999999997</v>
          </cell>
          <cell r="Z4476">
            <v>0.99970000000000003</v>
          </cell>
          <cell r="AA4476">
            <v>0.99970000000000003</v>
          </cell>
          <cell r="AB4476">
            <v>0.99895999999999996</v>
          </cell>
          <cell r="AC4476">
            <v>0.99861999999999995</v>
          </cell>
          <cell r="AD4476">
            <v>0.99846000000000001</v>
          </cell>
          <cell r="AE4476">
            <v>0.99789000000000005</v>
          </cell>
          <cell r="AF4476">
            <v>0.99702999999999997</v>
          </cell>
          <cell r="AG4476">
            <v>0.99573999999999996</v>
          </cell>
          <cell r="AH4476">
            <v>0.99382999999999999</v>
          </cell>
          <cell r="AI4476">
            <v>0.99090999999999996</v>
          </cell>
          <cell r="AJ4476">
            <v>0.98780999999999997</v>
          </cell>
          <cell r="AK4476">
            <v>0.98131999999999997</v>
          </cell>
          <cell r="AL4476">
            <v>0.97079000000000004</v>
          </cell>
          <cell r="AM4476">
            <v>0.95106000000000002</v>
          </cell>
          <cell r="AN4476">
            <v>0.90602000000000005</v>
          </cell>
          <cell r="AO4476">
            <v>0.80703000000000003</v>
          </cell>
          <cell r="AP4476">
            <v>0.49635000000000001</v>
          </cell>
        </row>
        <row r="4477">
          <cell r="D4477" t="str">
            <v>弥彦村</v>
          </cell>
          <cell r="E4477" t="str">
            <v>2025→2030</v>
          </cell>
          <cell r="F4477">
            <v>0.99939</v>
          </cell>
          <cell r="G4477">
            <v>0.99958999999999998</v>
          </cell>
          <cell r="H4477">
            <v>0.99909000000000003</v>
          </cell>
          <cell r="I4477">
            <v>0.99778</v>
          </cell>
          <cell r="J4477">
            <v>0.99700999999999995</v>
          </cell>
          <cell r="K4477">
            <v>0.99697999999999998</v>
          </cell>
          <cell r="L4477">
            <v>0.99633000000000005</v>
          </cell>
          <cell r="M4477">
            <v>0.99492000000000003</v>
          </cell>
          <cell r="N4477">
            <v>0.99238999999999999</v>
          </cell>
          <cell r="O4477">
            <v>0.98797000000000001</v>
          </cell>
          <cell r="P4477">
            <v>0.98119999999999996</v>
          </cell>
          <cell r="Q4477">
            <v>0.97192999999999996</v>
          </cell>
          <cell r="R4477">
            <v>0.95381000000000005</v>
          </cell>
          <cell r="S4477">
            <v>0.92823999999999995</v>
          </cell>
          <cell r="T4477">
            <v>0.89207000000000003</v>
          </cell>
          <cell r="U4477">
            <v>0.81040000000000001</v>
          </cell>
          <cell r="V4477">
            <v>0.65817000000000003</v>
          </cell>
          <cell r="W4477">
            <v>0.40143000000000001</v>
          </cell>
          <cell r="Y4477">
            <v>0.99936999999999998</v>
          </cell>
          <cell r="Z4477">
            <v>0.99973000000000001</v>
          </cell>
          <cell r="AA4477">
            <v>0.99970999999999999</v>
          </cell>
          <cell r="AB4477">
            <v>0.99902000000000002</v>
          </cell>
          <cell r="AC4477">
            <v>0.99870000000000003</v>
          </cell>
          <cell r="AD4477">
            <v>0.99853999999999998</v>
          </cell>
          <cell r="AE4477">
            <v>0.99800999999999995</v>
          </cell>
          <cell r="AF4477">
            <v>0.99717999999999996</v>
          </cell>
          <cell r="AG4477">
            <v>0.99595</v>
          </cell>
          <cell r="AH4477">
            <v>0.99412999999999996</v>
          </cell>
          <cell r="AI4477">
            <v>0.99131999999999998</v>
          </cell>
          <cell r="AJ4477">
            <v>0.98836999999999997</v>
          </cell>
          <cell r="AK4477">
            <v>0.98221000000000003</v>
          </cell>
          <cell r="AL4477">
            <v>0.97216000000000002</v>
          </cell>
          <cell r="AM4477">
            <v>0.95372999999999997</v>
          </cell>
          <cell r="AN4477">
            <v>0.91185000000000005</v>
          </cell>
          <cell r="AO4477">
            <v>0.81786000000000003</v>
          </cell>
          <cell r="AP4477">
            <v>0.50792000000000004</v>
          </cell>
        </row>
        <row r="4478">
          <cell r="D4478" t="str">
            <v>弥彦村</v>
          </cell>
          <cell r="E4478" t="str">
            <v>2030→2035</v>
          </cell>
          <cell r="F4478">
            <v>0.99944999999999995</v>
          </cell>
          <cell r="G4478">
            <v>0.99963000000000002</v>
          </cell>
          <cell r="H4478">
            <v>0.99917</v>
          </cell>
          <cell r="I4478">
            <v>0.99792000000000003</v>
          </cell>
          <cell r="J4478">
            <v>0.99714000000000003</v>
          </cell>
          <cell r="K4478">
            <v>0.99711000000000005</v>
          </cell>
          <cell r="L4478">
            <v>0.99651999999999996</v>
          </cell>
          <cell r="M4478">
            <v>0.99519000000000002</v>
          </cell>
          <cell r="N4478">
            <v>0.99278999999999995</v>
          </cell>
          <cell r="O4478">
            <v>0.98858999999999997</v>
          </cell>
          <cell r="P4478">
            <v>0.98211999999999999</v>
          </cell>
          <cell r="Q4478">
            <v>0.97321000000000002</v>
          </cell>
          <cell r="R4478">
            <v>0.95565</v>
          </cell>
          <cell r="S4478">
            <v>0.93095000000000006</v>
          </cell>
          <cell r="T4478">
            <v>0.89632999999999996</v>
          </cell>
          <cell r="U4478">
            <v>0.81893000000000005</v>
          </cell>
          <cell r="V4478">
            <v>0.67071999999999998</v>
          </cell>
          <cell r="W4478">
            <v>0.41160000000000002</v>
          </cell>
          <cell r="Y4478">
            <v>0.99941999999999998</v>
          </cell>
          <cell r="Z4478">
            <v>0.99975000000000003</v>
          </cell>
          <cell r="AA4478">
            <v>0.99972000000000005</v>
          </cell>
          <cell r="AB4478">
            <v>0.99907999999999997</v>
          </cell>
          <cell r="AC4478">
            <v>0.99878</v>
          </cell>
          <cell r="AD4478">
            <v>0.99861</v>
          </cell>
          <cell r="AE4478">
            <v>0.99811000000000005</v>
          </cell>
          <cell r="AF4478">
            <v>0.99731999999999998</v>
          </cell>
          <cell r="AG4478">
            <v>0.99614000000000003</v>
          </cell>
          <cell r="AH4478">
            <v>0.99438000000000004</v>
          </cell>
          <cell r="AI4478">
            <v>0.99168000000000001</v>
          </cell>
          <cell r="AJ4478">
            <v>0.98882999999999999</v>
          </cell>
          <cell r="AK4478">
            <v>0.98297000000000001</v>
          </cell>
          <cell r="AL4478">
            <v>0.97330000000000005</v>
          </cell>
          <cell r="AM4478">
            <v>0.95591999999999999</v>
          </cell>
          <cell r="AN4478">
            <v>0.91676000000000002</v>
          </cell>
          <cell r="AO4478">
            <v>0.82723999999999998</v>
          </cell>
          <cell r="AP4478">
            <v>0.51836000000000004</v>
          </cell>
        </row>
        <row r="4479">
          <cell r="D4479" t="str">
            <v>弥彦村</v>
          </cell>
          <cell r="E4479" t="str">
            <v>2035→2040</v>
          </cell>
          <cell r="F4479">
            <v>0.99950000000000006</v>
          </cell>
          <cell r="G4479">
            <v>0.99965999999999999</v>
          </cell>
          <cell r="H4479">
            <v>0.99924000000000002</v>
          </cell>
          <cell r="I4479">
            <v>0.99804999999999999</v>
          </cell>
          <cell r="J4479">
            <v>0.99726000000000004</v>
          </cell>
          <cell r="K4479">
            <v>0.99724000000000002</v>
          </cell>
          <cell r="L4479">
            <v>0.99668999999999996</v>
          </cell>
          <cell r="M4479">
            <v>0.99543999999999999</v>
          </cell>
          <cell r="N4479">
            <v>0.99314999999999998</v>
          </cell>
          <cell r="O4479">
            <v>0.98914000000000002</v>
          </cell>
          <cell r="P4479">
            <v>0.98294000000000004</v>
          </cell>
          <cell r="Q4479">
            <v>0.97431999999999996</v>
          </cell>
          <cell r="R4479">
            <v>0.95726</v>
          </cell>
          <cell r="S4479">
            <v>0.93335000000000001</v>
          </cell>
          <cell r="T4479">
            <v>0.90005000000000002</v>
          </cell>
          <cell r="U4479">
            <v>0.82645999999999997</v>
          </cell>
          <cell r="V4479">
            <v>0.68213999999999997</v>
          </cell>
          <cell r="W4479">
            <v>0.42097000000000001</v>
          </cell>
          <cell r="Y4479">
            <v>0.99946999999999997</v>
          </cell>
          <cell r="Z4479">
            <v>0.99977000000000005</v>
          </cell>
          <cell r="AA4479">
            <v>0.99973000000000001</v>
          </cell>
          <cell r="AB4479">
            <v>0.99912999999999996</v>
          </cell>
          <cell r="AC4479">
            <v>0.99883999999999995</v>
          </cell>
          <cell r="AD4479">
            <v>0.99868000000000001</v>
          </cell>
          <cell r="AE4479">
            <v>0.99819999999999998</v>
          </cell>
          <cell r="AF4479">
            <v>0.99743999999999999</v>
          </cell>
          <cell r="AG4479">
            <v>0.99629999999999996</v>
          </cell>
          <cell r="AH4479">
            <v>0.99460000000000004</v>
          </cell>
          <cell r="AI4479">
            <v>0.99199000000000004</v>
          </cell>
          <cell r="AJ4479">
            <v>0.98921999999999999</v>
          </cell>
          <cell r="AK4479">
            <v>0.98360000000000003</v>
          </cell>
          <cell r="AL4479">
            <v>0.97426999999999997</v>
          </cell>
          <cell r="AM4479">
            <v>0.95774000000000004</v>
          </cell>
          <cell r="AN4479">
            <v>0.92091000000000001</v>
          </cell>
          <cell r="AO4479">
            <v>0.83538000000000001</v>
          </cell>
          <cell r="AP4479">
            <v>0.52781</v>
          </cell>
        </row>
        <row r="4480">
          <cell r="D4480" t="str">
            <v>弥彦村</v>
          </cell>
          <cell r="E4480" t="str">
            <v>2040→2045</v>
          </cell>
          <cell r="F4480">
            <v>0.99953999999999998</v>
          </cell>
          <cell r="G4480">
            <v>0.99970000000000003</v>
          </cell>
          <cell r="H4480">
            <v>0.99929999999999997</v>
          </cell>
          <cell r="I4480">
            <v>0.99817</v>
          </cell>
          <cell r="J4480">
            <v>0.99736999999999998</v>
          </cell>
          <cell r="K4480">
            <v>0.99734999999999996</v>
          </cell>
          <cell r="L4480">
            <v>0.99685000000000001</v>
          </cell>
          <cell r="M4480">
            <v>0.99567000000000005</v>
          </cell>
          <cell r="N4480">
            <v>0.99346999999999996</v>
          </cell>
          <cell r="O4480">
            <v>0.98963999999999996</v>
          </cell>
          <cell r="P4480">
            <v>0.98368</v>
          </cell>
          <cell r="Q4480">
            <v>0.97529999999999994</v>
          </cell>
          <cell r="R4480">
            <v>0.95867999999999998</v>
          </cell>
          <cell r="S4480">
            <v>0.93549000000000004</v>
          </cell>
          <cell r="T4480">
            <v>0.90332000000000001</v>
          </cell>
          <cell r="U4480">
            <v>0.83311999999999997</v>
          </cell>
          <cell r="V4480">
            <v>0.69255999999999995</v>
          </cell>
          <cell r="W4480">
            <v>0.42964000000000002</v>
          </cell>
          <cell r="Y4480">
            <v>0.99951999999999996</v>
          </cell>
          <cell r="Z4480">
            <v>0.99978999999999996</v>
          </cell>
          <cell r="AA4480">
            <v>0.99973999999999996</v>
          </cell>
          <cell r="AB4480">
            <v>0.99917999999999996</v>
          </cell>
          <cell r="AC4480">
            <v>0.99890999999999996</v>
          </cell>
          <cell r="AD4480">
            <v>0.99873000000000001</v>
          </cell>
          <cell r="AE4480">
            <v>0.99827999999999995</v>
          </cell>
          <cell r="AF4480">
            <v>0.99755000000000005</v>
          </cell>
          <cell r="AG4480">
            <v>0.99643999999999999</v>
          </cell>
          <cell r="AH4480">
            <v>0.99478</v>
          </cell>
          <cell r="AI4480">
            <v>0.99226000000000003</v>
          </cell>
          <cell r="AJ4480">
            <v>0.98953999999999998</v>
          </cell>
          <cell r="AK4480">
            <v>0.98414000000000001</v>
          </cell>
          <cell r="AL4480">
            <v>0.97509999999999997</v>
          </cell>
          <cell r="AM4480">
            <v>0.95925000000000005</v>
          </cell>
          <cell r="AN4480">
            <v>0.92442999999999997</v>
          </cell>
          <cell r="AO4480">
            <v>0.84248999999999996</v>
          </cell>
          <cell r="AP4480">
            <v>0.53639999999999999</v>
          </cell>
        </row>
        <row r="4481">
          <cell r="D4481" t="str">
            <v>田上町</v>
          </cell>
          <cell r="E4481" t="str">
            <v>2015→2020</v>
          </cell>
          <cell r="F4481">
            <v>0.99922999999999995</v>
          </cell>
          <cell r="G4481">
            <v>0.99951000000000001</v>
          </cell>
          <cell r="H4481">
            <v>0.99890999999999996</v>
          </cell>
          <cell r="I4481">
            <v>0.99744999999999995</v>
          </cell>
          <cell r="J4481">
            <v>0.99673</v>
          </cell>
          <cell r="K4481">
            <v>0.99668999999999996</v>
          </cell>
          <cell r="L4481">
            <v>0.99589000000000005</v>
          </cell>
          <cell r="M4481">
            <v>0.99428000000000005</v>
          </cell>
          <cell r="N4481">
            <v>0.99145000000000005</v>
          </cell>
          <cell r="O4481">
            <v>0.98650000000000004</v>
          </cell>
          <cell r="P4481">
            <v>0.97901000000000005</v>
          </cell>
          <cell r="Q4481">
            <v>0.96877000000000002</v>
          </cell>
          <cell r="R4481">
            <v>0.94757999999999998</v>
          </cell>
          <cell r="S4481">
            <v>0.92091999999999996</v>
          </cell>
          <cell r="T4481">
            <v>0.88083</v>
          </cell>
          <cell r="U4481">
            <v>0.78718999999999995</v>
          </cell>
          <cell r="V4481">
            <v>0.63527999999999996</v>
          </cell>
          <cell r="W4481">
            <v>0.39583000000000002</v>
          </cell>
          <cell r="Y4481">
            <v>0.99922999999999995</v>
          </cell>
          <cell r="Z4481">
            <v>0.99966999999999995</v>
          </cell>
          <cell r="AA4481">
            <v>0.99968000000000001</v>
          </cell>
          <cell r="AB4481">
            <v>0.99888999999999994</v>
          </cell>
          <cell r="AC4481">
            <v>0.99853999999999998</v>
          </cell>
          <cell r="AD4481">
            <v>0.99836999999999998</v>
          </cell>
          <cell r="AE4481">
            <v>0.99777000000000005</v>
          </cell>
          <cell r="AF4481">
            <v>0.99685999999999997</v>
          </cell>
          <cell r="AG4481">
            <v>0.99548999999999999</v>
          </cell>
          <cell r="AH4481">
            <v>0.99348999999999998</v>
          </cell>
          <cell r="AI4481">
            <v>0.99043000000000003</v>
          </cell>
          <cell r="AJ4481">
            <v>0.98716000000000004</v>
          </cell>
          <cell r="AK4481">
            <v>0.98058000000000001</v>
          </cell>
          <cell r="AL4481">
            <v>0.96955999999999998</v>
          </cell>
          <cell r="AM4481">
            <v>0.95199</v>
          </cell>
          <cell r="AN4481">
            <v>0.90663000000000005</v>
          </cell>
          <cell r="AO4481">
            <v>0.80381000000000002</v>
          </cell>
          <cell r="AP4481">
            <v>0.46966999999999998</v>
          </cell>
        </row>
        <row r="4482">
          <cell r="D4482" t="str">
            <v>田上町</v>
          </cell>
          <cell r="E4482" t="str">
            <v>2020→2025</v>
          </cell>
          <cell r="F4482">
            <v>0.99931999999999999</v>
          </cell>
          <cell r="G4482">
            <v>0.99955000000000005</v>
          </cell>
          <cell r="H4482">
            <v>0.999</v>
          </cell>
          <cell r="I4482">
            <v>0.99761999999999995</v>
          </cell>
          <cell r="J4482">
            <v>0.99687000000000003</v>
          </cell>
          <cell r="K4482">
            <v>0.99683999999999995</v>
          </cell>
          <cell r="L4482">
            <v>0.99612000000000001</v>
          </cell>
          <cell r="M4482">
            <v>0.99460999999999999</v>
          </cell>
          <cell r="N4482">
            <v>0.99194000000000004</v>
          </cell>
          <cell r="O4482">
            <v>0.98726999999999998</v>
          </cell>
          <cell r="P4482">
            <v>0.98016000000000003</v>
          </cell>
          <cell r="Q4482">
            <v>0.97045000000000003</v>
          </cell>
          <cell r="R4482">
            <v>0.94996000000000003</v>
          </cell>
          <cell r="S4482">
            <v>0.92442999999999997</v>
          </cell>
          <cell r="T4482">
            <v>0.88676999999999995</v>
          </cell>
          <cell r="U4482">
            <v>0.79825000000000002</v>
          </cell>
          <cell r="V4482">
            <v>0.65078000000000003</v>
          </cell>
          <cell r="W4482">
            <v>0.40866999999999998</v>
          </cell>
          <cell r="Y4482">
            <v>0.99929999999999997</v>
          </cell>
          <cell r="Z4482">
            <v>0.99970000000000003</v>
          </cell>
          <cell r="AA4482">
            <v>0.99970000000000003</v>
          </cell>
          <cell r="AB4482">
            <v>0.99895999999999996</v>
          </cell>
          <cell r="AC4482">
            <v>0.99861999999999995</v>
          </cell>
          <cell r="AD4482">
            <v>0.99846000000000001</v>
          </cell>
          <cell r="AE4482">
            <v>0.99789000000000005</v>
          </cell>
          <cell r="AF4482">
            <v>0.99702999999999997</v>
          </cell>
          <cell r="AG4482">
            <v>0.99573999999999996</v>
          </cell>
          <cell r="AH4482">
            <v>0.99382999999999999</v>
          </cell>
          <cell r="AI4482">
            <v>0.99090999999999996</v>
          </cell>
          <cell r="AJ4482">
            <v>0.98780999999999997</v>
          </cell>
          <cell r="AK4482">
            <v>0.98163</v>
          </cell>
          <cell r="AL4482">
            <v>0.97119</v>
          </cell>
          <cell r="AM4482">
            <v>0.95528000000000002</v>
          </cell>
          <cell r="AN4482">
            <v>0.91361999999999999</v>
          </cell>
          <cell r="AO4482">
            <v>0.81664000000000003</v>
          </cell>
          <cell r="AP4482">
            <v>0.48231000000000002</v>
          </cell>
        </row>
        <row r="4483">
          <cell r="D4483" t="str">
            <v>田上町</v>
          </cell>
          <cell r="E4483" t="str">
            <v>2025→2030</v>
          </cell>
          <cell r="F4483">
            <v>0.99939</v>
          </cell>
          <cell r="G4483">
            <v>0.99958999999999998</v>
          </cell>
          <cell r="H4483">
            <v>0.99909000000000003</v>
          </cell>
          <cell r="I4483">
            <v>0.99778</v>
          </cell>
          <cell r="J4483">
            <v>0.99700999999999995</v>
          </cell>
          <cell r="K4483">
            <v>0.99697999999999998</v>
          </cell>
          <cell r="L4483">
            <v>0.99633000000000005</v>
          </cell>
          <cell r="M4483">
            <v>0.99492000000000003</v>
          </cell>
          <cell r="N4483">
            <v>0.99238999999999999</v>
          </cell>
          <cell r="O4483">
            <v>0.98797000000000001</v>
          </cell>
          <cell r="P4483">
            <v>0.98119999999999996</v>
          </cell>
          <cell r="Q4483">
            <v>0.97192999999999996</v>
          </cell>
          <cell r="R4483">
            <v>0.95206000000000002</v>
          </cell>
          <cell r="S4483">
            <v>0.92749000000000004</v>
          </cell>
          <cell r="T4483">
            <v>0.89171999999999996</v>
          </cell>
          <cell r="U4483">
            <v>0.80793999999999999</v>
          </cell>
          <cell r="V4483">
            <v>0.66476999999999997</v>
          </cell>
          <cell r="W4483">
            <v>0.42022999999999999</v>
          </cell>
          <cell r="Y4483">
            <v>0.99936999999999998</v>
          </cell>
          <cell r="Z4483">
            <v>0.99973000000000001</v>
          </cell>
          <cell r="AA4483">
            <v>0.99970999999999999</v>
          </cell>
          <cell r="AB4483">
            <v>0.99902000000000002</v>
          </cell>
          <cell r="AC4483">
            <v>0.99870000000000003</v>
          </cell>
          <cell r="AD4483">
            <v>0.99853999999999998</v>
          </cell>
          <cell r="AE4483">
            <v>0.99800999999999995</v>
          </cell>
          <cell r="AF4483">
            <v>0.99717999999999996</v>
          </cell>
          <cell r="AG4483">
            <v>0.99595</v>
          </cell>
          <cell r="AH4483">
            <v>0.99412999999999996</v>
          </cell>
          <cell r="AI4483">
            <v>0.99131999999999998</v>
          </cell>
          <cell r="AJ4483">
            <v>0.98836999999999997</v>
          </cell>
          <cell r="AK4483">
            <v>0.98251999999999995</v>
          </cell>
          <cell r="AL4483">
            <v>0.97255999999999998</v>
          </cell>
          <cell r="AM4483">
            <v>0.95796000000000003</v>
          </cell>
          <cell r="AN4483">
            <v>0.91949000000000003</v>
          </cell>
          <cell r="AO4483">
            <v>0.8276</v>
          </cell>
          <cell r="AP4483">
            <v>0.49354999999999999</v>
          </cell>
        </row>
        <row r="4484">
          <cell r="D4484" t="str">
            <v>田上町</v>
          </cell>
          <cell r="E4484" t="str">
            <v>2030→2035</v>
          </cell>
          <cell r="F4484">
            <v>0.99944999999999995</v>
          </cell>
          <cell r="G4484">
            <v>0.99963000000000002</v>
          </cell>
          <cell r="H4484">
            <v>0.99917</v>
          </cell>
          <cell r="I4484">
            <v>0.99792000000000003</v>
          </cell>
          <cell r="J4484">
            <v>0.99714000000000003</v>
          </cell>
          <cell r="K4484">
            <v>0.99711000000000005</v>
          </cell>
          <cell r="L4484">
            <v>0.99651999999999996</v>
          </cell>
          <cell r="M4484">
            <v>0.99519000000000002</v>
          </cell>
          <cell r="N4484">
            <v>0.99278999999999995</v>
          </cell>
          <cell r="O4484">
            <v>0.98858999999999997</v>
          </cell>
          <cell r="P4484">
            <v>0.98211999999999999</v>
          </cell>
          <cell r="Q4484">
            <v>0.97321000000000002</v>
          </cell>
          <cell r="R4484">
            <v>0.95389000000000002</v>
          </cell>
          <cell r="S4484">
            <v>0.93018999999999996</v>
          </cell>
          <cell r="T4484">
            <v>0.89598999999999995</v>
          </cell>
          <cell r="U4484">
            <v>0.81644000000000005</v>
          </cell>
          <cell r="V4484">
            <v>0.67745</v>
          </cell>
          <cell r="W4484">
            <v>0.43087999999999999</v>
          </cell>
          <cell r="Y4484">
            <v>0.99941999999999998</v>
          </cell>
          <cell r="Z4484">
            <v>0.99975000000000003</v>
          </cell>
          <cell r="AA4484">
            <v>0.99972000000000005</v>
          </cell>
          <cell r="AB4484">
            <v>0.99907999999999997</v>
          </cell>
          <cell r="AC4484">
            <v>0.99878</v>
          </cell>
          <cell r="AD4484">
            <v>0.99861</v>
          </cell>
          <cell r="AE4484">
            <v>0.99811000000000005</v>
          </cell>
          <cell r="AF4484">
            <v>0.99731999999999998</v>
          </cell>
          <cell r="AG4484">
            <v>0.99614000000000003</v>
          </cell>
          <cell r="AH4484">
            <v>0.99438000000000004</v>
          </cell>
          <cell r="AI4484">
            <v>0.99168000000000001</v>
          </cell>
          <cell r="AJ4484">
            <v>0.98882999999999999</v>
          </cell>
          <cell r="AK4484">
            <v>0.98328000000000004</v>
          </cell>
          <cell r="AL4484">
            <v>0.97370999999999996</v>
          </cell>
          <cell r="AM4484">
            <v>0.96016999999999997</v>
          </cell>
          <cell r="AN4484">
            <v>0.92444000000000004</v>
          </cell>
          <cell r="AO4484">
            <v>0.83709</v>
          </cell>
          <cell r="AP4484">
            <v>0.50370000000000004</v>
          </cell>
        </row>
        <row r="4485">
          <cell r="D4485" t="str">
            <v>田上町</v>
          </cell>
          <cell r="E4485" t="str">
            <v>2035→2040</v>
          </cell>
          <cell r="F4485">
            <v>0.99950000000000006</v>
          </cell>
          <cell r="G4485">
            <v>0.99965999999999999</v>
          </cell>
          <cell r="H4485">
            <v>0.99924000000000002</v>
          </cell>
          <cell r="I4485">
            <v>0.99804999999999999</v>
          </cell>
          <cell r="J4485">
            <v>0.99726000000000004</v>
          </cell>
          <cell r="K4485">
            <v>0.99724000000000002</v>
          </cell>
          <cell r="L4485">
            <v>0.99668999999999996</v>
          </cell>
          <cell r="M4485">
            <v>0.99543999999999999</v>
          </cell>
          <cell r="N4485">
            <v>0.99314999999999998</v>
          </cell>
          <cell r="O4485">
            <v>0.98914000000000002</v>
          </cell>
          <cell r="P4485">
            <v>0.98294000000000004</v>
          </cell>
          <cell r="Q4485">
            <v>0.97431999999999996</v>
          </cell>
          <cell r="R4485">
            <v>0.95550000000000002</v>
          </cell>
          <cell r="S4485">
            <v>0.93259000000000003</v>
          </cell>
          <cell r="T4485">
            <v>0.89970000000000006</v>
          </cell>
          <cell r="U4485">
            <v>0.82394999999999996</v>
          </cell>
          <cell r="V4485">
            <v>0.68898999999999999</v>
          </cell>
          <cell r="W4485">
            <v>0.44069000000000003</v>
          </cell>
          <cell r="Y4485">
            <v>0.99946999999999997</v>
          </cell>
          <cell r="Z4485">
            <v>0.99977000000000005</v>
          </cell>
          <cell r="AA4485">
            <v>0.99973000000000001</v>
          </cell>
          <cell r="AB4485">
            <v>0.99912999999999996</v>
          </cell>
          <cell r="AC4485">
            <v>0.99883999999999995</v>
          </cell>
          <cell r="AD4485">
            <v>0.99868000000000001</v>
          </cell>
          <cell r="AE4485">
            <v>0.99819999999999998</v>
          </cell>
          <cell r="AF4485">
            <v>0.99743999999999999</v>
          </cell>
          <cell r="AG4485">
            <v>0.99629999999999996</v>
          </cell>
          <cell r="AH4485">
            <v>0.99460000000000004</v>
          </cell>
          <cell r="AI4485">
            <v>0.99199000000000004</v>
          </cell>
          <cell r="AJ4485">
            <v>0.98921999999999999</v>
          </cell>
          <cell r="AK4485">
            <v>0.98390999999999995</v>
          </cell>
          <cell r="AL4485">
            <v>0.97467999999999999</v>
          </cell>
          <cell r="AM4485">
            <v>0.96199000000000001</v>
          </cell>
          <cell r="AN4485">
            <v>0.92862</v>
          </cell>
          <cell r="AO4485">
            <v>0.84533000000000003</v>
          </cell>
          <cell r="AP4485">
            <v>0.51288</v>
          </cell>
        </row>
        <row r="4486">
          <cell r="D4486" t="str">
            <v>田上町</v>
          </cell>
          <cell r="E4486" t="str">
            <v>2040→2045</v>
          </cell>
          <cell r="F4486">
            <v>0.99953999999999998</v>
          </cell>
          <cell r="G4486">
            <v>0.99970000000000003</v>
          </cell>
          <cell r="H4486">
            <v>0.99929999999999997</v>
          </cell>
          <cell r="I4486">
            <v>0.99817</v>
          </cell>
          <cell r="J4486">
            <v>0.99736999999999998</v>
          </cell>
          <cell r="K4486">
            <v>0.99734999999999996</v>
          </cell>
          <cell r="L4486">
            <v>0.99685000000000001</v>
          </cell>
          <cell r="M4486">
            <v>0.99567000000000005</v>
          </cell>
          <cell r="N4486">
            <v>0.99346999999999996</v>
          </cell>
          <cell r="O4486">
            <v>0.98963999999999996</v>
          </cell>
          <cell r="P4486">
            <v>0.98368</v>
          </cell>
          <cell r="Q4486">
            <v>0.97529999999999994</v>
          </cell>
          <cell r="R4486">
            <v>0.95691999999999999</v>
          </cell>
          <cell r="S4486">
            <v>0.93472999999999995</v>
          </cell>
          <cell r="T4486">
            <v>0.90297000000000005</v>
          </cell>
          <cell r="U4486">
            <v>0.83059000000000005</v>
          </cell>
          <cell r="V4486">
            <v>0.69950999999999997</v>
          </cell>
          <cell r="W4486">
            <v>0.44975999999999999</v>
          </cell>
          <cell r="Y4486">
            <v>0.99951999999999996</v>
          </cell>
          <cell r="Z4486">
            <v>0.99978999999999996</v>
          </cell>
          <cell r="AA4486">
            <v>0.99973999999999996</v>
          </cell>
          <cell r="AB4486">
            <v>0.99917999999999996</v>
          </cell>
          <cell r="AC4486">
            <v>0.99890999999999996</v>
          </cell>
          <cell r="AD4486">
            <v>0.99873000000000001</v>
          </cell>
          <cell r="AE4486">
            <v>0.99827999999999995</v>
          </cell>
          <cell r="AF4486">
            <v>0.99755000000000005</v>
          </cell>
          <cell r="AG4486">
            <v>0.99643999999999999</v>
          </cell>
          <cell r="AH4486">
            <v>0.99478</v>
          </cell>
          <cell r="AI4486">
            <v>0.99226000000000003</v>
          </cell>
          <cell r="AJ4486">
            <v>0.98953999999999998</v>
          </cell>
          <cell r="AK4486">
            <v>0.98445000000000005</v>
          </cell>
          <cell r="AL4486">
            <v>0.97550000000000003</v>
          </cell>
          <cell r="AM4486">
            <v>0.96350999999999998</v>
          </cell>
          <cell r="AN4486">
            <v>0.93218000000000001</v>
          </cell>
          <cell r="AO4486">
            <v>0.85251999999999994</v>
          </cell>
          <cell r="AP4486">
            <v>0.52122000000000002</v>
          </cell>
        </row>
        <row r="4487">
          <cell r="D4487" t="str">
            <v>阿賀町</v>
          </cell>
          <cell r="E4487" t="str">
            <v>2015→2020</v>
          </cell>
          <cell r="F4487">
            <v>0.99922999999999995</v>
          </cell>
          <cell r="G4487">
            <v>0.99951000000000001</v>
          </cell>
          <cell r="H4487">
            <v>0.99890999999999996</v>
          </cell>
          <cell r="I4487">
            <v>0.99744999999999995</v>
          </cell>
          <cell r="J4487">
            <v>0.99673</v>
          </cell>
          <cell r="K4487">
            <v>0.99668999999999996</v>
          </cell>
          <cell r="L4487">
            <v>0.99589000000000005</v>
          </cell>
          <cell r="M4487">
            <v>0.99428000000000005</v>
          </cell>
          <cell r="N4487">
            <v>0.99145000000000005</v>
          </cell>
          <cell r="O4487">
            <v>0.98650000000000004</v>
          </cell>
          <cell r="P4487">
            <v>0.97901000000000005</v>
          </cell>
          <cell r="Q4487">
            <v>0.96877000000000002</v>
          </cell>
          <cell r="R4487">
            <v>0.95411000000000001</v>
          </cell>
          <cell r="S4487">
            <v>0.92859000000000003</v>
          </cell>
          <cell r="T4487">
            <v>0.87821000000000005</v>
          </cell>
          <cell r="U4487">
            <v>0.78396999999999994</v>
          </cell>
          <cell r="V4487">
            <v>0.65115000000000001</v>
          </cell>
          <cell r="W4487">
            <v>0.3805</v>
          </cell>
          <cell r="Y4487">
            <v>0.99922999999999995</v>
          </cell>
          <cell r="Z4487">
            <v>0.99966999999999995</v>
          </cell>
          <cell r="AA4487">
            <v>0.99968000000000001</v>
          </cell>
          <cell r="AB4487">
            <v>0.99888999999999994</v>
          </cell>
          <cell r="AC4487">
            <v>0.99853999999999998</v>
          </cell>
          <cell r="AD4487">
            <v>0.99836999999999998</v>
          </cell>
          <cell r="AE4487">
            <v>0.99777000000000005</v>
          </cell>
          <cell r="AF4487">
            <v>0.99685999999999997</v>
          </cell>
          <cell r="AG4487">
            <v>0.99548999999999999</v>
          </cell>
          <cell r="AH4487">
            <v>0.99348999999999998</v>
          </cell>
          <cell r="AI4487">
            <v>0.99043000000000003</v>
          </cell>
          <cell r="AJ4487">
            <v>0.98716000000000004</v>
          </cell>
          <cell r="AK4487">
            <v>0.98148000000000002</v>
          </cell>
          <cell r="AL4487">
            <v>0.97058999999999995</v>
          </cell>
          <cell r="AM4487">
            <v>0.95328999999999997</v>
          </cell>
          <cell r="AN4487">
            <v>0.90920999999999996</v>
          </cell>
          <cell r="AO4487">
            <v>0.81135000000000002</v>
          </cell>
          <cell r="AP4487">
            <v>0.49951000000000001</v>
          </cell>
        </row>
        <row r="4488">
          <cell r="D4488" t="str">
            <v>阿賀町</v>
          </cell>
          <cell r="E4488" t="str">
            <v>2020→2025</v>
          </cell>
          <cell r="F4488">
            <v>0.99931999999999999</v>
          </cell>
          <cell r="G4488">
            <v>0.99955000000000005</v>
          </cell>
          <cell r="H4488">
            <v>0.999</v>
          </cell>
          <cell r="I4488">
            <v>0.99761999999999995</v>
          </cell>
          <cell r="J4488">
            <v>0.99687000000000003</v>
          </cell>
          <cell r="K4488">
            <v>0.99683999999999995</v>
          </cell>
          <cell r="L4488">
            <v>0.99612000000000001</v>
          </cell>
          <cell r="M4488">
            <v>0.99460999999999999</v>
          </cell>
          <cell r="N4488">
            <v>0.99194000000000004</v>
          </cell>
          <cell r="O4488">
            <v>0.98726999999999998</v>
          </cell>
          <cell r="P4488">
            <v>0.98016000000000003</v>
          </cell>
          <cell r="Q4488">
            <v>0.97045000000000003</v>
          </cell>
          <cell r="R4488">
            <v>0.95650000000000002</v>
          </cell>
          <cell r="S4488">
            <v>0.93213000000000001</v>
          </cell>
          <cell r="T4488">
            <v>0.88412999999999997</v>
          </cell>
          <cell r="U4488">
            <v>0.79498000000000002</v>
          </cell>
          <cell r="V4488">
            <v>0.66703999999999997</v>
          </cell>
          <cell r="W4488">
            <v>0.39284000000000002</v>
          </cell>
          <cell r="Y4488">
            <v>0.99929999999999997</v>
          </cell>
          <cell r="Z4488">
            <v>0.99970000000000003</v>
          </cell>
          <cell r="AA4488">
            <v>0.99970000000000003</v>
          </cell>
          <cell r="AB4488">
            <v>0.99895999999999996</v>
          </cell>
          <cell r="AC4488">
            <v>0.99861999999999995</v>
          </cell>
          <cell r="AD4488">
            <v>0.99846000000000001</v>
          </cell>
          <cell r="AE4488">
            <v>0.99789000000000005</v>
          </cell>
          <cell r="AF4488">
            <v>0.99702999999999997</v>
          </cell>
          <cell r="AG4488">
            <v>0.99573999999999996</v>
          </cell>
          <cell r="AH4488">
            <v>0.99382999999999999</v>
          </cell>
          <cell r="AI4488">
            <v>0.99090999999999996</v>
          </cell>
          <cell r="AJ4488">
            <v>0.98780999999999997</v>
          </cell>
          <cell r="AK4488">
            <v>0.98253000000000001</v>
          </cell>
          <cell r="AL4488">
            <v>0.97221999999999997</v>
          </cell>
          <cell r="AM4488">
            <v>0.95659000000000005</v>
          </cell>
          <cell r="AN4488">
            <v>0.91620999999999997</v>
          </cell>
          <cell r="AO4488">
            <v>0.82430000000000003</v>
          </cell>
          <cell r="AP4488">
            <v>0.51293999999999995</v>
          </cell>
        </row>
        <row r="4489">
          <cell r="D4489" t="str">
            <v>阿賀町</v>
          </cell>
          <cell r="E4489" t="str">
            <v>2025→2030</v>
          </cell>
          <cell r="F4489">
            <v>0.99939</v>
          </cell>
          <cell r="G4489">
            <v>0.99958999999999998</v>
          </cell>
          <cell r="H4489">
            <v>0.99909000000000003</v>
          </cell>
          <cell r="I4489">
            <v>0.99778</v>
          </cell>
          <cell r="J4489">
            <v>0.99700999999999995</v>
          </cell>
          <cell r="K4489">
            <v>0.99697999999999998</v>
          </cell>
          <cell r="L4489">
            <v>0.99633000000000005</v>
          </cell>
          <cell r="M4489">
            <v>0.99492000000000003</v>
          </cell>
          <cell r="N4489">
            <v>0.99238999999999999</v>
          </cell>
          <cell r="O4489">
            <v>0.98797000000000001</v>
          </cell>
          <cell r="P4489">
            <v>0.98119999999999996</v>
          </cell>
          <cell r="Q4489">
            <v>0.97192999999999996</v>
          </cell>
          <cell r="R4489">
            <v>0.95860999999999996</v>
          </cell>
          <cell r="S4489">
            <v>0.93520999999999999</v>
          </cell>
          <cell r="T4489">
            <v>0.88905999999999996</v>
          </cell>
          <cell r="U4489">
            <v>0.80462999999999996</v>
          </cell>
          <cell r="V4489">
            <v>0.68137999999999999</v>
          </cell>
          <cell r="W4489">
            <v>0.40395999999999999</v>
          </cell>
          <cell r="Y4489">
            <v>0.99936999999999998</v>
          </cell>
          <cell r="Z4489">
            <v>0.99973000000000001</v>
          </cell>
          <cell r="AA4489">
            <v>0.99970999999999999</v>
          </cell>
          <cell r="AB4489">
            <v>0.99902000000000002</v>
          </cell>
          <cell r="AC4489">
            <v>0.99870000000000003</v>
          </cell>
          <cell r="AD4489">
            <v>0.99853999999999998</v>
          </cell>
          <cell r="AE4489">
            <v>0.99800999999999995</v>
          </cell>
          <cell r="AF4489">
            <v>0.99717999999999996</v>
          </cell>
          <cell r="AG4489">
            <v>0.99595</v>
          </cell>
          <cell r="AH4489">
            <v>0.99412999999999996</v>
          </cell>
          <cell r="AI4489">
            <v>0.99131999999999998</v>
          </cell>
          <cell r="AJ4489">
            <v>0.98836999999999997</v>
          </cell>
          <cell r="AK4489">
            <v>0.98341999999999996</v>
          </cell>
          <cell r="AL4489">
            <v>0.97358999999999996</v>
          </cell>
          <cell r="AM4489">
            <v>0.95928000000000002</v>
          </cell>
          <cell r="AN4489">
            <v>0.92210000000000003</v>
          </cell>
          <cell r="AO4489">
            <v>0.83535999999999999</v>
          </cell>
          <cell r="AP4489">
            <v>0.52490000000000003</v>
          </cell>
        </row>
        <row r="4490">
          <cell r="D4490" t="str">
            <v>阿賀町</v>
          </cell>
          <cell r="E4490" t="str">
            <v>2030→2035</v>
          </cell>
          <cell r="F4490">
            <v>0.99944999999999995</v>
          </cell>
          <cell r="G4490">
            <v>0.99963000000000002</v>
          </cell>
          <cell r="H4490">
            <v>0.99917</v>
          </cell>
          <cell r="I4490">
            <v>0.99792000000000003</v>
          </cell>
          <cell r="J4490">
            <v>0.99714000000000003</v>
          </cell>
          <cell r="K4490">
            <v>0.99711000000000005</v>
          </cell>
          <cell r="L4490">
            <v>0.99651999999999996</v>
          </cell>
          <cell r="M4490">
            <v>0.99519000000000002</v>
          </cell>
          <cell r="N4490">
            <v>0.99278999999999995</v>
          </cell>
          <cell r="O4490">
            <v>0.98858999999999997</v>
          </cell>
          <cell r="P4490">
            <v>0.98211999999999999</v>
          </cell>
          <cell r="Q4490">
            <v>0.97321000000000002</v>
          </cell>
          <cell r="R4490">
            <v>0.96045999999999998</v>
          </cell>
          <cell r="S4490">
            <v>0.93794</v>
          </cell>
          <cell r="T4490">
            <v>0.89331000000000005</v>
          </cell>
          <cell r="U4490">
            <v>0.81310000000000004</v>
          </cell>
          <cell r="V4490">
            <v>0.69438</v>
          </cell>
          <cell r="W4490">
            <v>0.41419</v>
          </cell>
          <cell r="Y4490">
            <v>0.99941999999999998</v>
          </cell>
          <cell r="Z4490">
            <v>0.99975000000000003</v>
          </cell>
          <cell r="AA4490">
            <v>0.99972000000000005</v>
          </cell>
          <cell r="AB4490">
            <v>0.99907999999999997</v>
          </cell>
          <cell r="AC4490">
            <v>0.99878</v>
          </cell>
          <cell r="AD4490">
            <v>0.99861</v>
          </cell>
          <cell r="AE4490">
            <v>0.99811000000000005</v>
          </cell>
          <cell r="AF4490">
            <v>0.99731999999999998</v>
          </cell>
          <cell r="AG4490">
            <v>0.99614000000000003</v>
          </cell>
          <cell r="AH4490">
            <v>0.99438000000000004</v>
          </cell>
          <cell r="AI4490">
            <v>0.99168000000000001</v>
          </cell>
          <cell r="AJ4490">
            <v>0.98882999999999999</v>
          </cell>
          <cell r="AK4490">
            <v>0.98418000000000005</v>
          </cell>
          <cell r="AL4490">
            <v>0.97474000000000005</v>
          </cell>
          <cell r="AM4490">
            <v>0.96148</v>
          </cell>
          <cell r="AN4490">
            <v>0.92706</v>
          </cell>
          <cell r="AO4490">
            <v>0.84494000000000002</v>
          </cell>
          <cell r="AP4490">
            <v>0.53569</v>
          </cell>
        </row>
        <row r="4491">
          <cell r="D4491" t="str">
            <v>阿賀町</v>
          </cell>
          <cell r="E4491" t="str">
            <v>2035→2040</v>
          </cell>
          <cell r="F4491">
            <v>0.99950000000000006</v>
          </cell>
          <cell r="G4491">
            <v>0.99965999999999999</v>
          </cell>
          <cell r="H4491">
            <v>0.99924000000000002</v>
          </cell>
          <cell r="I4491">
            <v>0.99804999999999999</v>
          </cell>
          <cell r="J4491">
            <v>0.99726000000000004</v>
          </cell>
          <cell r="K4491">
            <v>0.99724000000000002</v>
          </cell>
          <cell r="L4491">
            <v>0.99668999999999996</v>
          </cell>
          <cell r="M4491">
            <v>0.99543999999999999</v>
          </cell>
          <cell r="N4491">
            <v>0.99314999999999998</v>
          </cell>
          <cell r="O4491">
            <v>0.98914000000000002</v>
          </cell>
          <cell r="P4491">
            <v>0.98294000000000004</v>
          </cell>
          <cell r="Q4491">
            <v>0.97431999999999996</v>
          </cell>
          <cell r="R4491">
            <v>0.96208000000000005</v>
          </cell>
          <cell r="S4491">
            <v>0.94035999999999997</v>
          </cell>
          <cell r="T4491">
            <v>0.89702000000000004</v>
          </cell>
          <cell r="U4491">
            <v>0.82057000000000002</v>
          </cell>
          <cell r="V4491">
            <v>0.70620000000000005</v>
          </cell>
          <cell r="W4491">
            <v>0.42362</v>
          </cell>
          <cell r="Y4491">
            <v>0.99946999999999997</v>
          </cell>
          <cell r="Z4491">
            <v>0.99977000000000005</v>
          </cell>
          <cell r="AA4491">
            <v>0.99973000000000001</v>
          </cell>
          <cell r="AB4491">
            <v>0.99912999999999996</v>
          </cell>
          <cell r="AC4491">
            <v>0.99883999999999995</v>
          </cell>
          <cell r="AD4491">
            <v>0.99868000000000001</v>
          </cell>
          <cell r="AE4491">
            <v>0.99819999999999998</v>
          </cell>
          <cell r="AF4491">
            <v>0.99743999999999999</v>
          </cell>
          <cell r="AG4491">
            <v>0.99629999999999996</v>
          </cell>
          <cell r="AH4491">
            <v>0.99460000000000004</v>
          </cell>
          <cell r="AI4491">
            <v>0.99199000000000004</v>
          </cell>
          <cell r="AJ4491">
            <v>0.98921999999999999</v>
          </cell>
          <cell r="AK4491">
            <v>0.98480999999999996</v>
          </cell>
          <cell r="AL4491">
            <v>0.97570999999999997</v>
          </cell>
          <cell r="AM4491">
            <v>0.96331</v>
          </cell>
          <cell r="AN4491">
            <v>0.93125999999999998</v>
          </cell>
          <cell r="AO4491">
            <v>0.85326000000000002</v>
          </cell>
          <cell r="AP4491">
            <v>0.54545999999999994</v>
          </cell>
        </row>
        <row r="4492">
          <cell r="D4492" t="str">
            <v>阿賀町</v>
          </cell>
          <cell r="E4492" t="str">
            <v>2040→2045</v>
          </cell>
          <cell r="F4492">
            <v>0.99953999999999998</v>
          </cell>
          <cell r="G4492">
            <v>0.99970000000000003</v>
          </cell>
          <cell r="H4492">
            <v>0.99929999999999997</v>
          </cell>
          <cell r="I4492">
            <v>0.99817</v>
          </cell>
          <cell r="J4492">
            <v>0.99736999999999998</v>
          </cell>
          <cell r="K4492">
            <v>0.99734999999999996</v>
          </cell>
          <cell r="L4492">
            <v>0.99685000000000001</v>
          </cell>
          <cell r="M4492">
            <v>0.99567000000000005</v>
          </cell>
          <cell r="N4492">
            <v>0.99346999999999996</v>
          </cell>
          <cell r="O4492">
            <v>0.98963999999999996</v>
          </cell>
          <cell r="P4492">
            <v>0.98368</v>
          </cell>
          <cell r="Q4492">
            <v>0.97529999999999994</v>
          </cell>
          <cell r="R4492">
            <v>0.96350000000000002</v>
          </cell>
          <cell r="S4492">
            <v>0.94250999999999996</v>
          </cell>
          <cell r="T4492">
            <v>0.90027000000000001</v>
          </cell>
          <cell r="U4492">
            <v>0.82718999999999998</v>
          </cell>
          <cell r="V4492">
            <v>0.71697999999999995</v>
          </cell>
          <cell r="W4492">
            <v>0.43234</v>
          </cell>
          <cell r="Y4492">
            <v>0.99951999999999996</v>
          </cell>
          <cell r="Z4492">
            <v>0.99978999999999996</v>
          </cell>
          <cell r="AA4492">
            <v>0.99973999999999996</v>
          </cell>
          <cell r="AB4492">
            <v>0.99917999999999996</v>
          </cell>
          <cell r="AC4492">
            <v>0.99890999999999996</v>
          </cell>
          <cell r="AD4492">
            <v>0.99873000000000001</v>
          </cell>
          <cell r="AE4492">
            <v>0.99827999999999995</v>
          </cell>
          <cell r="AF4492">
            <v>0.99755000000000005</v>
          </cell>
          <cell r="AG4492">
            <v>0.99643999999999999</v>
          </cell>
          <cell r="AH4492">
            <v>0.99478</v>
          </cell>
          <cell r="AI4492">
            <v>0.99226000000000003</v>
          </cell>
          <cell r="AJ4492">
            <v>0.98953999999999998</v>
          </cell>
          <cell r="AK4492">
            <v>0.98534999999999995</v>
          </cell>
          <cell r="AL4492">
            <v>0.97653999999999996</v>
          </cell>
          <cell r="AM4492">
            <v>0.96482999999999997</v>
          </cell>
          <cell r="AN4492">
            <v>0.93481999999999998</v>
          </cell>
          <cell r="AO4492">
            <v>0.86051</v>
          </cell>
          <cell r="AP4492">
            <v>0.55432999999999999</v>
          </cell>
        </row>
        <row r="4493">
          <cell r="D4493" t="str">
            <v>出雲崎町</v>
          </cell>
          <cell r="E4493" t="str">
            <v>2015→2020</v>
          </cell>
          <cell r="F4493">
            <v>0.99922999999999995</v>
          </cell>
          <cell r="G4493">
            <v>0.99951000000000001</v>
          </cell>
          <cell r="H4493">
            <v>0.99890999999999996</v>
          </cell>
          <cell r="I4493">
            <v>0.99744999999999995</v>
          </cell>
          <cell r="J4493">
            <v>0.99673</v>
          </cell>
          <cell r="K4493">
            <v>0.99668999999999996</v>
          </cell>
          <cell r="L4493">
            <v>0.99589000000000005</v>
          </cell>
          <cell r="M4493">
            <v>0.99428000000000005</v>
          </cell>
          <cell r="N4493">
            <v>0.99145000000000005</v>
          </cell>
          <cell r="O4493">
            <v>0.98650000000000004</v>
          </cell>
          <cell r="P4493">
            <v>0.97901000000000005</v>
          </cell>
          <cell r="Q4493">
            <v>0.96877000000000002</v>
          </cell>
          <cell r="R4493">
            <v>0.95209999999999995</v>
          </cell>
          <cell r="S4493">
            <v>0.92303000000000002</v>
          </cell>
          <cell r="T4493">
            <v>0.88163999999999998</v>
          </cell>
          <cell r="U4493">
            <v>0.79403999999999997</v>
          </cell>
          <cell r="V4493">
            <v>0.62544</v>
          </cell>
          <cell r="W4493">
            <v>0.35492000000000001</v>
          </cell>
          <cell r="Y4493">
            <v>0.99922999999999995</v>
          </cell>
          <cell r="Z4493">
            <v>0.99966999999999995</v>
          </cell>
          <cell r="AA4493">
            <v>0.99968000000000001</v>
          </cell>
          <cell r="AB4493">
            <v>0.99888999999999994</v>
          </cell>
          <cell r="AC4493">
            <v>0.99853999999999998</v>
          </cell>
          <cell r="AD4493">
            <v>0.99836999999999998</v>
          </cell>
          <cell r="AE4493">
            <v>0.99777000000000005</v>
          </cell>
          <cell r="AF4493">
            <v>0.99685999999999997</v>
          </cell>
          <cell r="AG4493">
            <v>0.99548999999999999</v>
          </cell>
          <cell r="AH4493">
            <v>0.99348999999999998</v>
          </cell>
          <cell r="AI4493">
            <v>0.99043000000000003</v>
          </cell>
          <cell r="AJ4493">
            <v>0.98716000000000004</v>
          </cell>
          <cell r="AK4493">
            <v>0.98085999999999995</v>
          </cell>
          <cell r="AL4493">
            <v>0.97082000000000002</v>
          </cell>
          <cell r="AM4493">
            <v>0.94816999999999996</v>
          </cell>
          <cell r="AN4493">
            <v>0.89927999999999997</v>
          </cell>
          <cell r="AO4493">
            <v>0.80681999999999998</v>
          </cell>
          <cell r="AP4493">
            <v>0.48820000000000002</v>
          </cell>
        </row>
        <row r="4494">
          <cell r="D4494" t="str">
            <v>出雲崎町</v>
          </cell>
          <cell r="E4494" t="str">
            <v>2020→2025</v>
          </cell>
          <cell r="F4494">
            <v>0.99931999999999999</v>
          </cell>
          <cell r="G4494">
            <v>0.99955000000000005</v>
          </cell>
          <cell r="H4494">
            <v>0.999</v>
          </cell>
          <cell r="I4494">
            <v>0.99761999999999995</v>
          </cell>
          <cell r="J4494">
            <v>0.99687000000000003</v>
          </cell>
          <cell r="K4494">
            <v>0.99683999999999995</v>
          </cell>
          <cell r="L4494">
            <v>0.99612000000000001</v>
          </cell>
          <cell r="M4494">
            <v>0.99460999999999999</v>
          </cell>
          <cell r="N4494">
            <v>0.99194000000000004</v>
          </cell>
          <cell r="O4494">
            <v>0.98726999999999998</v>
          </cell>
          <cell r="P4494">
            <v>0.98016000000000003</v>
          </cell>
          <cell r="Q4494">
            <v>0.97045000000000003</v>
          </cell>
          <cell r="R4494">
            <v>0.95448999999999995</v>
          </cell>
          <cell r="S4494">
            <v>0.92654999999999998</v>
          </cell>
          <cell r="T4494">
            <v>0.88758000000000004</v>
          </cell>
          <cell r="U4494">
            <v>0.80520000000000003</v>
          </cell>
          <cell r="V4494">
            <v>0.64070000000000005</v>
          </cell>
          <cell r="W4494">
            <v>0.36642999999999998</v>
          </cell>
          <cell r="Y4494">
            <v>0.99929999999999997</v>
          </cell>
          <cell r="Z4494">
            <v>0.99970000000000003</v>
          </cell>
          <cell r="AA4494">
            <v>0.99970000000000003</v>
          </cell>
          <cell r="AB4494">
            <v>0.99895999999999996</v>
          </cell>
          <cell r="AC4494">
            <v>0.99861999999999995</v>
          </cell>
          <cell r="AD4494">
            <v>0.99846000000000001</v>
          </cell>
          <cell r="AE4494">
            <v>0.99789000000000005</v>
          </cell>
          <cell r="AF4494">
            <v>0.99702999999999997</v>
          </cell>
          <cell r="AG4494">
            <v>0.99573999999999996</v>
          </cell>
          <cell r="AH4494">
            <v>0.99382999999999999</v>
          </cell>
          <cell r="AI4494">
            <v>0.99090999999999996</v>
          </cell>
          <cell r="AJ4494">
            <v>0.98780999999999997</v>
          </cell>
          <cell r="AK4494">
            <v>0.98190999999999995</v>
          </cell>
          <cell r="AL4494">
            <v>0.97245999999999999</v>
          </cell>
          <cell r="AM4494">
            <v>0.95145000000000002</v>
          </cell>
          <cell r="AN4494">
            <v>0.90620999999999996</v>
          </cell>
          <cell r="AO4494">
            <v>0.81969000000000003</v>
          </cell>
          <cell r="AP4494">
            <v>0.50133000000000005</v>
          </cell>
        </row>
        <row r="4495">
          <cell r="D4495" t="str">
            <v>出雲崎町</v>
          </cell>
          <cell r="E4495" t="str">
            <v>2025→2030</v>
          </cell>
          <cell r="F4495">
            <v>0.99939</v>
          </cell>
          <cell r="G4495">
            <v>0.99958999999999998</v>
          </cell>
          <cell r="H4495">
            <v>0.99909000000000003</v>
          </cell>
          <cell r="I4495">
            <v>0.99778</v>
          </cell>
          <cell r="J4495">
            <v>0.99700999999999995</v>
          </cell>
          <cell r="K4495">
            <v>0.99697999999999998</v>
          </cell>
          <cell r="L4495">
            <v>0.99633000000000005</v>
          </cell>
          <cell r="M4495">
            <v>0.99492000000000003</v>
          </cell>
          <cell r="N4495">
            <v>0.99238999999999999</v>
          </cell>
          <cell r="O4495">
            <v>0.98797000000000001</v>
          </cell>
          <cell r="P4495">
            <v>0.98119999999999996</v>
          </cell>
          <cell r="Q4495">
            <v>0.97192999999999996</v>
          </cell>
          <cell r="R4495">
            <v>0.95660000000000001</v>
          </cell>
          <cell r="S4495">
            <v>0.92961000000000005</v>
          </cell>
          <cell r="T4495">
            <v>0.89253000000000005</v>
          </cell>
          <cell r="U4495">
            <v>0.81496999999999997</v>
          </cell>
          <cell r="V4495">
            <v>0.65447</v>
          </cell>
          <cell r="W4495">
            <v>0.37680000000000002</v>
          </cell>
          <cell r="Y4495">
            <v>0.99936999999999998</v>
          </cell>
          <cell r="Z4495">
            <v>0.99973000000000001</v>
          </cell>
          <cell r="AA4495">
            <v>0.99970999999999999</v>
          </cell>
          <cell r="AB4495">
            <v>0.99902000000000002</v>
          </cell>
          <cell r="AC4495">
            <v>0.99870000000000003</v>
          </cell>
          <cell r="AD4495">
            <v>0.99853999999999998</v>
          </cell>
          <cell r="AE4495">
            <v>0.99800999999999995</v>
          </cell>
          <cell r="AF4495">
            <v>0.99717999999999996</v>
          </cell>
          <cell r="AG4495">
            <v>0.99595</v>
          </cell>
          <cell r="AH4495">
            <v>0.99412999999999996</v>
          </cell>
          <cell r="AI4495">
            <v>0.99131999999999998</v>
          </cell>
          <cell r="AJ4495">
            <v>0.98836999999999997</v>
          </cell>
          <cell r="AK4495">
            <v>0.98280000000000001</v>
          </cell>
          <cell r="AL4495">
            <v>0.97382999999999997</v>
          </cell>
          <cell r="AM4495">
            <v>0.95413000000000003</v>
          </cell>
          <cell r="AN4495">
            <v>0.91203000000000001</v>
          </cell>
          <cell r="AO4495">
            <v>0.83069000000000004</v>
          </cell>
          <cell r="AP4495">
            <v>0.51300999999999997</v>
          </cell>
        </row>
        <row r="4496">
          <cell r="D4496" t="str">
            <v>出雲崎町</v>
          </cell>
          <cell r="E4496" t="str">
            <v>2030→2035</v>
          </cell>
          <cell r="F4496">
            <v>0.99944999999999995</v>
          </cell>
          <cell r="G4496">
            <v>0.99963000000000002</v>
          </cell>
          <cell r="H4496">
            <v>0.99917</v>
          </cell>
          <cell r="I4496">
            <v>0.99792000000000003</v>
          </cell>
          <cell r="J4496">
            <v>0.99714000000000003</v>
          </cell>
          <cell r="K4496">
            <v>0.99711000000000005</v>
          </cell>
          <cell r="L4496">
            <v>0.99651999999999996</v>
          </cell>
          <cell r="M4496">
            <v>0.99519000000000002</v>
          </cell>
          <cell r="N4496">
            <v>0.99278999999999995</v>
          </cell>
          <cell r="O4496">
            <v>0.98858999999999997</v>
          </cell>
          <cell r="P4496">
            <v>0.98211999999999999</v>
          </cell>
          <cell r="Q4496">
            <v>0.97321000000000002</v>
          </cell>
          <cell r="R4496">
            <v>0.95843999999999996</v>
          </cell>
          <cell r="S4496">
            <v>0.93232000000000004</v>
          </cell>
          <cell r="T4496">
            <v>0.89680000000000004</v>
          </cell>
          <cell r="U4496">
            <v>0.82354000000000005</v>
          </cell>
          <cell r="V4496">
            <v>0.66695000000000004</v>
          </cell>
          <cell r="W4496">
            <v>0.38634000000000002</v>
          </cell>
          <cell r="Y4496">
            <v>0.99941999999999998</v>
          </cell>
          <cell r="Z4496">
            <v>0.99975000000000003</v>
          </cell>
          <cell r="AA4496">
            <v>0.99972000000000005</v>
          </cell>
          <cell r="AB4496">
            <v>0.99907999999999997</v>
          </cell>
          <cell r="AC4496">
            <v>0.99878</v>
          </cell>
          <cell r="AD4496">
            <v>0.99861</v>
          </cell>
          <cell r="AE4496">
            <v>0.99811000000000005</v>
          </cell>
          <cell r="AF4496">
            <v>0.99731999999999998</v>
          </cell>
          <cell r="AG4496">
            <v>0.99614000000000003</v>
          </cell>
          <cell r="AH4496">
            <v>0.99438000000000004</v>
          </cell>
          <cell r="AI4496">
            <v>0.99168000000000001</v>
          </cell>
          <cell r="AJ4496">
            <v>0.98882999999999999</v>
          </cell>
          <cell r="AK4496">
            <v>0.98355999999999999</v>
          </cell>
          <cell r="AL4496">
            <v>0.97497999999999996</v>
          </cell>
          <cell r="AM4496">
            <v>0.95631999999999995</v>
          </cell>
          <cell r="AN4496">
            <v>0.91693999999999998</v>
          </cell>
          <cell r="AO4496">
            <v>0.84021999999999997</v>
          </cell>
          <cell r="AP4496">
            <v>0.52356000000000003</v>
          </cell>
        </row>
        <row r="4497">
          <cell r="D4497" t="str">
            <v>出雲崎町</v>
          </cell>
          <cell r="E4497" t="str">
            <v>2035→2040</v>
          </cell>
          <cell r="F4497">
            <v>0.99950000000000006</v>
          </cell>
          <cell r="G4497">
            <v>0.99965999999999999</v>
          </cell>
          <cell r="H4497">
            <v>0.99924000000000002</v>
          </cell>
          <cell r="I4497">
            <v>0.99804999999999999</v>
          </cell>
          <cell r="J4497">
            <v>0.99726000000000004</v>
          </cell>
          <cell r="K4497">
            <v>0.99724000000000002</v>
          </cell>
          <cell r="L4497">
            <v>0.99668999999999996</v>
          </cell>
          <cell r="M4497">
            <v>0.99543999999999999</v>
          </cell>
          <cell r="N4497">
            <v>0.99314999999999998</v>
          </cell>
          <cell r="O4497">
            <v>0.98914000000000002</v>
          </cell>
          <cell r="P4497">
            <v>0.98294000000000004</v>
          </cell>
          <cell r="Q4497">
            <v>0.97431999999999996</v>
          </cell>
          <cell r="R4497">
            <v>0.96006000000000002</v>
          </cell>
          <cell r="S4497">
            <v>0.93472</v>
          </cell>
          <cell r="T4497">
            <v>0.90051999999999999</v>
          </cell>
          <cell r="U4497">
            <v>0.83111000000000002</v>
          </cell>
          <cell r="V4497">
            <v>0.67830999999999997</v>
          </cell>
          <cell r="W4497">
            <v>0.39513999999999999</v>
          </cell>
          <cell r="Y4497">
            <v>0.99946999999999997</v>
          </cell>
          <cell r="Z4497">
            <v>0.99977000000000005</v>
          </cell>
          <cell r="AA4497">
            <v>0.99973000000000001</v>
          </cell>
          <cell r="AB4497">
            <v>0.99912999999999996</v>
          </cell>
          <cell r="AC4497">
            <v>0.99883999999999995</v>
          </cell>
          <cell r="AD4497">
            <v>0.99868000000000001</v>
          </cell>
          <cell r="AE4497">
            <v>0.99819999999999998</v>
          </cell>
          <cell r="AF4497">
            <v>0.99743999999999999</v>
          </cell>
          <cell r="AG4497">
            <v>0.99629999999999996</v>
          </cell>
          <cell r="AH4497">
            <v>0.99460000000000004</v>
          </cell>
          <cell r="AI4497">
            <v>0.99199000000000004</v>
          </cell>
          <cell r="AJ4497">
            <v>0.98921999999999999</v>
          </cell>
          <cell r="AK4497">
            <v>0.98419000000000001</v>
          </cell>
          <cell r="AL4497">
            <v>0.97594999999999998</v>
          </cell>
          <cell r="AM4497">
            <v>0.95813999999999999</v>
          </cell>
          <cell r="AN4497">
            <v>0.92108999999999996</v>
          </cell>
          <cell r="AO4497">
            <v>0.84848999999999997</v>
          </cell>
          <cell r="AP4497">
            <v>0.53310999999999997</v>
          </cell>
        </row>
        <row r="4498">
          <cell r="D4498" t="str">
            <v>出雲崎町</v>
          </cell>
          <cell r="E4498" t="str">
            <v>2040→2045</v>
          </cell>
          <cell r="F4498">
            <v>0.99953999999999998</v>
          </cell>
          <cell r="G4498">
            <v>0.99970000000000003</v>
          </cell>
          <cell r="H4498">
            <v>0.99929999999999997</v>
          </cell>
          <cell r="I4498">
            <v>0.99817</v>
          </cell>
          <cell r="J4498">
            <v>0.99736999999999998</v>
          </cell>
          <cell r="K4498">
            <v>0.99734999999999996</v>
          </cell>
          <cell r="L4498">
            <v>0.99685000000000001</v>
          </cell>
          <cell r="M4498">
            <v>0.99567000000000005</v>
          </cell>
          <cell r="N4498">
            <v>0.99346999999999996</v>
          </cell>
          <cell r="O4498">
            <v>0.98963999999999996</v>
          </cell>
          <cell r="P4498">
            <v>0.98368</v>
          </cell>
          <cell r="Q4498">
            <v>0.97529999999999994</v>
          </cell>
          <cell r="R4498">
            <v>0.96148</v>
          </cell>
          <cell r="S4498">
            <v>0.93686999999999998</v>
          </cell>
          <cell r="T4498">
            <v>0.90378999999999998</v>
          </cell>
          <cell r="U4498">
            <v>0.83782000000000001</v>
          </cell>
          <cell r="V4498">
            <v>0.68867</v>
          </cell>
          <cell r="W4498">
            <v>0.40327000000000002</v>
          </cell>
          <cell r="Y4498">
            <v>0.99951999999999996</v>
          </cell>
          <cell r="Z4498">
            <v>0.99978999999999996</v>
          </cell>
          <cell r="AA4498">
            <v>0.99973999999999996</v>
          </cell>
          <cell r="AB4498">
            <v>0.99917999999999996</v>
          </cell>
          <cell r="AC4498">
            <v>0.99890999999999996</v>
          </cell>
          <cell r="AD4498">
            <v>0.99873000000000001</v>
          </cell>
          <cell r="AE4498">
            <v>0.99827999999999995</v>
          </cell>
          <cell r="AF4498">
            <v>0.99755000000000005</v>
          </cell>
          <cell r="AG4498">
            <v>0.99643999999999999</v>
          </cell>
          <cell r="AH4498">
            <v>0.99478</v>
          </cell>
          <cell r="AI4498">
            <v>0.99226000000000003</v>
          </cell>
          <cell r="AJ4498">
            <v>0.98953999999999998</v>
          </cell>
          <cell r="AK4498">
            <v>0.98472999999999999</v>
          </cell>
          <cell r="AL4498">
            <v>0.97677000000000003</v>
          </cell>
          <cell r="AM4498">
            <v>0.95965</v>
          </cell>
          <cell r="AN4498">
            <v>0.92462</v>
          </cell>
          <cell r="AO4498">
            <v>0.85570000000000002</v>
          </cell>
          <cell r="AP4498">
            <v>0.54178000000000004</v>
          </cell>
        </row>
        <row r="4499">
          <cell r="D4499" t="str">
            <v>湯沢町</v>
          </cell>
          <cell r="E4499" t="str">
            <v>2015→2020</v>
          </cell>
          <cell r="F4499">
            <v>0.99922999999999995</v>
          </cell>
          <cell r="G4499">
            <v>0.99951000000000001</v>
          </cell>
          <cell r="H4499">
            <v>0.99890999999999996</v>
          </cell>
          <cell r="I4499">
            <v>0.99744999999999995</v>
          </cell>
          <cell r="J4499">
            <v>0.99673</v>
          </cell>
          <cell r="K4499">
            <v>0.99668999999999996</v>
          </cell>
          <cell r="L4499">
            <v>0.99589000000000005</v>
          </cell>
          <cell r="M4499">
            <v>0.99428000000000005</v>
          </cell>
          <cell r="N4499">
            <v>0.99145000000000005</v>
          </cell>
          <cell r="O4499">
            <v>0.98650000000000004</v>
          </cell>
          <cell r="P4499">
            <v>0.97901000000000005</v>
          </cell>
          <cell r="Q4499">
            <v>0.96877000000000002</v>
          </cell>
          <cell r="R4499">
            <v>0.95770999999999995</v>
          </cell>
          <cell r="S4499">
            <v>0.92844000000000004</v>
          </cell>
          <cell r="T4499">
            <v>0.89005999999999996</v>
          </cell>
          <cell r="U4499">
            <v>0.81252999999999997</v>
          </cell>
          <cell r="V4499">
            <v>0.67864999999999998</v>
          </cell>
          <cell r="W4499">
            <v>0.38817000000000002</v>
          </cell>
          <cell r="Y4499">
            <v>0.99922999999999995</v>
          </cell>
          <cell r="Z4499">
            <v>0.99966999999999995</v>
          </cell>
          <cell r="AA4499">
            <v>0.99968000000000001</v>
          </cell>
          <cell r="AB4499">
            <v>0.99888999999999994</v>
          </cell>
          <cell r="AC4499">
            <v>0.99853999999999998</v>
          </cell>
          <cell r="AD4499">
            <v>0.99836999999999998</v>
          </cell>
          <cell r="AE4499">
            <v>0.99777000000000005</v>
          </cell>
          <cell r="AF4499">
            <v>0.99685999999999997</v>
          </cell>
          <cell r="AG4499">
            <v>0.99548999999999999</v>
          </cell>
          <cell r="AH4499">
            <v>0.99348999999999998</v>
          </cell>
          <cell r="AI4499">
            <v>0.99043000000000003</v>
          </cell>
          <cell r="AJ4499">
            <v>0.98716000000000004</v>
          </cell>
          <cell r="AK4499">
            <v>0.98196000000000006</v>
          </cell>
          <cell r="AL4499">
            <v>0.97170999999999996</v>
          </cell>
          <cell r="AM4499">
            <v>0.95243999999999995</v>
          </cell>
          <cell r="AN4499">
            <v>0.90613999999999995</v>
          </cell>
          <cell r="AO4499">
            <v>0.82233999999999996</v>
          </cell>
          <cell r="AP4499">
            <v>0.50236000000000003</v>
          </cell>
        </row>
        <row r="4500">
          <cell r="D4500" t="str">
            <v>湯沢町</v>
          </cell>
          <cell r="E4500" t="str">
            <v>2020→2025</v>
          </cell>
          <cell r="F4500">
            <v>0.99931999999999999</v>
          </cell>
          <cell r="G4500">
            <v>0.99955000000000005</v>
          </cell>
          <cell r="H4500">
            <v>0.999</v>
          </cell>
          <cell r="I4500">
            <v>0.99761999999999995</v>
          </cell>
          <cell r="J4500">
            <v>0.99687000000000003</v>
          </cell>
          <cell r="K4500">
            <v>0.99683999999999995</v>
          </cell>
          <cell r="L4500">
            <v>0.99612000000000001</v>
          </cell>
          <cell r="M4500">
            <v>0.99460999999999999</v>
          </cell>
          <cell r="N4500">
            <v>0.99194000000000004</v>
          </cell>
          <cell r="O4500">
            <v>0.98726999999999998</v>
          </cell>
          <cell r="P4500">
            <v>0.98016000000000003</v>
          </cell>
          <cell r="Q4500">
            <v>0.97045000000000003</v>
          </cell>
          <cell r="R4500">
            <v>0.96011999999999997</v>
          </cell>
          <cell r="S4500">
            <v>0.93198000000000003</v>
          </cell>
          <cell r="T4500">
            <v>0.89605999999999997</v>
          </cell>
          <cell r="U4500">
            <v>0.82394000000000001</v>
          </cell>
          <cell r="V4500">
            <v>0.69520999999999999</v>
          </cell>
          <cell r="W4500">
            <v>0.40076000000000001</v>
          </cell>
          <cell r="Y4500">
            <v>0.99929999999999997</v>
          </cell>
          <cell r="Z4500">
            <v>0.99970000000000003</v>
          </cell>
          <cell r="AA4500">
            <v>0.99970000000000003</v>
          </cell>
          <cell r="AB4500">
            <v>0.99895999999999996</v>
          </cell>
          <cell r="AC4500">
            <v>0.99861999999999995</v>
          </cell>
          <cell r="AD4500">
            <v>0.99846000000000001</v>
          </cell>
          <cell r="AE4500">
            <v>0.99789000000000005</v>
          </cell>
          <cell r="AF4500">
            <v>0.99702999999999997</v>
          </cell>
          <cell r="AG4500">
            <v>0.99573999999999996</v>
          </cell>
          <cell r="AH4500">
            <v>0.99382999999999999</v>
          </cell>
          <cell r="AI4500">
            <v>0.99090999999999996</v>
          </cell>
          <cell r="AJ4500">
            <v>0.98780999999999997</v>
          </cell>
          <cell r="AK4500">
            <v>0.98301000000000005</v>
          </cell>
          <cell r="AL4500">
            <v>0.97333999999999998</v>
          </cell>
          <cell r="AM4500">
            <v>0.95572999999999997</v>
          </cell>
          <cell r="AN4500">
            <v>0.91312000000000004</v>
          </cell>
          <cell r="AO4500">
            <v>0.83545000000000003</v>
          </cell>
          <cell r="AP4500">
            <v>0.51588000000000001</v>
          </cell>
        </row>
        <row r="4501">
          <cell r="D4501" t="str">
            <v>湯沢町</v>
          </cell>
          <cell r="E4501" t="str">
            <v>2025→2030</v>
          </cell>
          <cell r="F4501">
            <v>0.99939</v>
          </cell>
          <cell r="G4501">
            <v>0.99958999999999998</v>
          </cell>
          <cell r="H4501">
            <v>0.99909000000000003</v>
          </cell>
          <cell r="I4501">
            <v>0.99778</v>
          </cell>
          <cell r="J4501">
            <v>0.99700999999999995</v>
          </cell>
          <cell r="K4501">
            <v>0.99697999999999998</v>
          </cell>
          <cell r="L4501">
            <v>0.99633000000000005</v>
          </cell>
          <cell r="M4501">
            <v>0.99492000000000003</v>
          </cell>
          <cell r="N4501">
            <v>0.99238999999999999</v>
          </cell>
          <cell r="O4501">
            <v>0.98797000000000001</v>
          </cell>
          <cell r="P4501">
            <v>0.98119999999999996</v>
          </cell>
          <cell r="Q4501">
            <v>0.97192999999999996</v>
          </cell>
          <cell r="R4501">
            <v>0.96223999999999998</v>
          </cell>
          <cell r="S4501">
            <v>0.93506</v>
          </cell>
          <cell r="T4501">
            <v>0.90105999999999997</v>
          </cell>
          <cell r="U4501">
            <v>0.83394000000000001</v>
          </cell>
          <cell r="V4501">
            <v>0.71014999999999995</v>
          </cell>
          <cell r="W4501">
            <v>0.41210000000000002</v>
          </cell>
          <cell r="Y4501">
            <v>0.99936999999999998</v>
          </cell>
          <cell r="Z4501">
            <v>0.99973000000000001</v>
          </cell>
          <cell r="AA4501">
            <v>0.99970999999999999</v>
          </cell>
          <cell r="AB4501">
            <v>0.99902000000000002</v>
          </cell>
          <cell r="AC4501">
            <v>0.99870000000000003</v>
          </cell>
          <cell r="AD4501">
            <v>0.99853999999999998</v>
          </cell>
          <cell r="AE4501">
            <v>0.99800999999999995</v>
          </cell>
          <cell r="AF4501">
            <v>0.99717999999999996</v>
          </cell>
          <cell r="AG4501">
            <v>0.99595</v>
          </cell>
          <cell r="AH4501">
            <v>0.99412999999999996</v>
          </cell>
          <cell r="AI4501">
            <v>0.99131999999999998</v>
          </cell>
          <cell r="AJ4501">
            <v>0.98836999999999997</v>
          </cell>
          <cell r="AK4501">
            <v>0.9839</v>
          </cell>
          <cell r="AL4501">
            <v>0.97472000000000003</v>
          </cell>
          <cell r="AM4501">
            <v>0.95842000000000005</v>
          </cell>
          <cell r="AN4501">
            <v>0.91898999999999997</v>
          </cell>
          <cell r="AO4501">
            <v>0.84667000000000003</v>
          </cell>
          <cell r="AP4501">
            <v>0.52790000000000004</v>
          </cell>
        </row>
        <row r="4502">
          <cell r="D4502" t="str">
            <v>湯沢町</v>
          </cell>
          <cell r="E4502" t="str">
            <v>2030→2035</v>
          </cell>
          <cell r="F4502">
            <v>0.99944999999999995</v>
          </cell>
          <cell r="G4502">
            <v>0.99963000000000002</v>
          </cell>
          <cell r="H4502">
            <v>0.99917</v>
          </cell>
          <cell r="I4502">
            <v>0.99792000000000003</v>
          </cell>
          <cell r="J4502">
            <v>0.99714000000000003</v>
          </cell>
          <cell r="K4502">
            <v>0.99711000000000005</v>
          </cell>
          <cell r="L4502">
            <v>0.99651999999999996</v>
          </cell>
          <cell r="M4502">
            <v>0.99519000000000002</v>
          </cell>
          <cell r="N4502">
            <v>0.99278999999999995</v>
          </cell>
          <cell r="O4502">
            <v>0.98858999999999997</v>
          </cell>
          <cell r="P4502">
            <v>0.98211999999999999</v>
          </cell>
          <cell r="Q4502">
            <v>0.97321000000000002</v>
          </cell>
          <cell r="R4502">
            <v>0.96409</v>
          </cell>
          <cell r="S4502">
            <v>0.93777999999999995</v>
          </cell>
          <cell r="T4502">
            <v>0.90537999999999996</v>
          </cell>
          <cell r="U4502">
            <v>0.84272000000000002</v>
          </cell>
          <cell r="V4502">
            <v>0.72370000000000001</v>
          </cell>
          <cell r="W4502">
            <v>0.42254000000000003</v>
          </cell>
          <cell r="Y4502">
            <v>0.99941999999999998</v>
          </cell>
          <cell r="Z4502">
            <v>0.99975000000000003</v>
          </cell>
          <cell r="AA4502">
            <v>0.99972000000000005</v>
          </cell>
          <cell r="AB4502">
            <v>0.99907999999999997</v>
          </cell>
          <cell r="AC4502">
            <v>0.99878</v>
          </cell>
          <cell r="AD4502">
            <v>0.99861</v>
          </cell>
          <cell r="AE4502">
            <v>0.99811000000000005</v>
          </cell>
          <cell r="AF4502">
            <v>0.99731999999999998</v>
          </cell>
          <cell r="AG4502">
            <v>0.99614000000000003</v>
          </cell>
          <cell r="AH4502">
            <v>0.99438000000000004</v>
          </cell>
          <cell r="AI4502">
            <v>0.99168000000000001</v>
          </cell>
          <cell r="AJ4502">
            <v>0.98882999999999999</v>
          </cell>
          <cell r="AK4502">
            <v>0.98465999999999998</v>
          </cell>
          <cell r="AL4502">
            <v>0.97587000000000002</v>
          </cell>
          <cell r="AM4502">
            <v>0.96062000000000003</v>
          </cell>
          <cell r="AN4502">
            <v>0.92393999999999998</v>
          </cell>
          <cell r="AO4502">
            <v>0.85638000000000003</v>
          </cell>
          <cell r="AP4502">
            <v>0.53874999999999995</v>
          </cell>
        </row>
        <row r="4503">
          <cell r="D4503" t="str">
            <v>湯沢町</v>
          </cell>
          <cell r="E4503" t="str">
            <v>2035→2040</v>
          </cell>
          <cell r="F4503">
            <v>0.99950000000000006</v>
          </cell>
          <cell r="G4503">
            <v>0.99965999999999999</v>
          </cell>
          <cell r="H4503">
            <v>0.99924000000000002</v>
          </cell>
          <cell r="I4503">
            <v>0.99804999999999999</v>
          </cell>
          <cell r="J4503">
            <v>0.99726000000000004</v>
          </cell>
          <cell r="K4503">
            <v>0.99724000000000002</v>
          </cell>
          <cell r="L4503">
            <v>0.99668999999999996</v>
          </cell>
          <cell r="M4503">
            <v>0.99543999999999999</v>
          </cell>
          <cell r="N4503">
            <v>0.99314999999999998</v>
          </cell>
          <cell r="O4503">
            <v>0.98914000000000002</v>
          </cell>
          <cell r="P4503">
            <v>0.98294000000000004</v>
          </cell>
          <cell r="Q4503">
            <v>0.97431999999999996</v>
          </cell>
          <cell r="R4503">
            <v>0.96572000000000002</v>
          </cell>
          <cell r="S4503">
            <v>0.94020000000000004</v>
          </cell>
          <cell r="T4503">
            <v>0.90912999999999999</v>
          </cell>
          <cell r="U4503">
            <v>0.85046999999999995</v>
          </cell>
          <cell r="V4503">
            <v>0.73602000000000001</v>
          </cell>
          <cell r="W4503">
            <v>0.43215999999999999</v>
          </cell>
          <cell r="Y4503">
            <v>0.99946999999999997</v>
          </cell>
          <cell r="Z4503">
            <v>0.99977000000000005</v>
          </cell>
          <cell r="AA4503">
            <v>0.99973000000000001</v>
          </cell>
          <cell r="AB4503">
            <v>0.99912999999999996</v>
          </cell>
          <cell r="AC4503">
            <v>0.99883999999999995</v>
          </cell>
          <cell r="AD4503">
            <v>0.99868000000000001</v>
          </cell>
          <cell r="AE4503">
            <v>0.99819999999999998</v>
          </cell>
          <cell r="AF4503">
            <v>0.99743999999999999</v>
          </cell>
          <cell r="AG4503">
            <v>0.99629999999999996</v>
          </cell>
          <cell r="AH4503">
            <v>0.99460000000000004</v>
          </cell>
          <cell r="AI4503">
            <v>0.99199000000000004</v>
          </cell>
          <cell r="AJ4503">
            <v>0.98921999999999999</v>
          </cell>
          <cell r="AK4503">
            <v>0.98529999999999995</v>
          </cell>
          <cell r="AL4503">
            <v>0.97684000000000004</v>
          </cell>
          <cell r="AM4503">
            <v>0.96245000000000003</v>
          </cell>
          <cell r="AN4503">
            <v>0.92811999999999995</v>
          </cell>
          <cell r="AO4503">
            <v>0.86480999999999997</v>
          </cell>
          <cell r="AP4503">
            <v>0.54857999999999996</v>
          </cell>
        </row>
        <row r="4504">
          <cell r="D4504" t="str">
            <v>湯沢町</v>
          </cell>
          <cell r="E4504" t="str">
            <v>2040→2045</v>
          </cell>
          <cell r="F4504">
            <v>0.99953999999999998</v>
          </cell>
          <cell r="G4504">
            <v>0.99970000000000003</v>
          </cell>
          <cell r="H4504">
            <v>0.99929999999999997</v>
          </cell>
          <cell r="I4504">
            <v>0.99817</v>
          </cell>
          <cell r="J4504">
            <v>0.99736999999999998</v>
          </cell>
          <cell r="K4504">
            <v>0.99734999999999996</v>
          </cell>
          <cell r="L4504">
            <v>0.99685000000000001</v>
          </cell>
          <cell r="M4504">
            <v>0.99567000000000005</v>
          </cell>
          <cell r="N4504">
            <v>0.99346999999999996</v>
          </cell>
          <cell r="O4504">
            <v>0.98963999999999996</v>
          </cell>
          <cell r="P4504">
            <v>0.98368</v>
          </cell>
          <cell r="Q4504">
            <v>0.97529999999999994</v>
          </cell>
          <cell r="R4504">
            <v>0.96714999999999995</v>
          </cell>
          <cell r="S4504">
            <v>0.94235999999999998</v>
          </cell>
          <cell r="T4504">
            <v>0.91242999999999996</v>
          </cell>
          <cell r="U4504">
            <v>0.85731999999999997</v>
          </cell>
          <cell r="V4504">
            <v>0.74726000000000004</v>
          </cell>
          <cell r="W4504">
            <v>0.44105</v>
          </cell>
          <cell r="Y4504">
            <v>0.99951999999999996</v>
          </cell>
          <cell r="Z4504">
            <v>0.99978999999999996</v>
          </cell>
          <cell r="AA4504">
            <v>0.99973999999999996</v>
          </cell>
          <cell r="AB4504">
            <v>0.99917999999999996</v>
          </cell>
          <cell r="AC4504">
            <v>0.99890999999999996</v>
          </cell>
          <cell r="AD4504">
            <v>0.99873000000000001</v>
          </cell>
          <cell r="AE4504">
            <v>0.99827999999999995</v>
          </cell>
          <cell r="AF4504">
            <v>0.99755000000000005</v>
          </cell>
          <cell r="AG4504">
            <v>0.99643999999999999</v>
          </cell>
          <cell r="AH4504">
            <v>0.99478</v>
          </cell>
          <cell r="AI4504">
            <v>0.99226000000000003</v>
          </cell>
          <cell r="AJ4504">
            <v>0.98953999999999998</v>
          </cell>
          <cell r="AK4504">
            <v>0.98582999999999998</v>
          </cell>
          <cell r="AL4504">
            <v>0.97765999999999997</v>
          </cell>
          <cell r="AM4504">
            <v>0.96396000000000004</v>
          </cell>
          <cell r="AN4504">
            <v>0.93167</v>
          </cell>
          <cell r="AO4504">
            <v>0.87216000000000005</v>
          </cell>
          <cell r="AP4504">
            <v>0.5575</v>
          </cell>
        </row>
        <row r="4505">
          <cell r="D4505" t="str">
            <v>津南町</v>
          </cell>
          <cell r="E4505" t="str">
            <v>2015→2020</v>
          </cell>
          <cell r="F4505">
            <v>0.99922999999999995</v>
          </cell>
          <cell r="G4505">
            <v>0.99951000000000001</v>
          </cell>
          <cell r="H4505">
            <v>0.99890999999999996</v>
          </cell>
          <cell r="I4505">
            <v>0.99744999999999995</v>
          </cell>
          <cell r="J4505">
            <v>0.99673</v>
          </cell>
          <cell r="K4505">
            <v>0.99668999999999996</v>
          </cell>
          <cell r="L4505">
            <v>0.99589000000000005</v>
          </cell>
          <cell r="M4505">
            <v>0.99428000000000005</v>
          </cell>
          <cell r="N4505">
            <v>0.99145000000000005</v>
          </cell>
          <cell r="O4505">
            <v>0.98650000000000004</v>
          </cell>
          <cell r="P4505">
            <v>0.97901000000000005</v>
          </cell>
          <cell r="Q4505">
            <v>0.96877000000000002</v>
          </cell>
          <cell r="R4505">
            <v>0.95750000000000002</v>
          </cell>
          <cell r="S4505">
            <v>0.93096999999999996</v>
          </cell>
          <cell r="T4505">
            <v>0.89522000000000002</v>
          </cell>
          <cell r="U4505">
            <v>0.81338999999999995</v>
          </cell>
          <cell r="V4505">
            <v>0.67186999999999997</v>
          </cell>
          <cell r="W4505">
            <v>0.39676</v>
          </cell>
          <cell r="Y4505">
            <v>0.99922999999999995</v>
          </cell>
          <cell r="Z4505">
            <v>0.99966999999999995</v>
          </cell>
          <cell r="AA4505">
            <v>0.99968000000000001</v>
          </cell>
          <cell r="AB4505">
            <v>0.99888999999999994</v>
          </cell>
          <cell r="AC4505">
            <v>0.99853999999999998</v>
          </cell>
          <cell r="AD4505">
            <v>0.99836999999999998</v>
          </cell>
          <cell r="AE4505">
            <v>0.99777000000000005</v>
          </cell>
          <cell r="AF4505">
            <v>0.99685999999999997</v>
          </cell>
          <cell r="AG4505">
            <v>0.99548999999999999</v>
          </cell>
          <cell r="AH4505">
            <v>0.99348999999999998</v>
          </cell>
          <cell r="AI4505">
            <v>0.99043000000000003</v>
          </cell>
          <cell r="AJ4505">
            <v>0.98716000000000004</v>
          </cell>
          <cell r="AK4505">
            <v>0.98097999999999996</v>
          </cell>
          <cell r="AL4505">
            <v>0.97377999999999998</v>
          </cell>
          <cell r="AM4505">
            <v>0.96045999999999998</v>
          </cell>
          <cell r="AN4505">
            <v>0.91793999999999998</v>
          </cell>
          <cell r="AO4505">
            <v>0.83208000000000004</v>
          </cell>
          <cell r="AP4505">
            <v>0.50334000000000001</v>
          </cell>
        </row>
        <row r="4506">
          <cell r="D4506" t="str">
            <v>津南町</v>
          </cell>
          <cell r="E4506" t="str">
            <v>2020→2025</v>
          </cell>
          <cell r="F4506">
            <v>0.99931999999999999</v>
          </cell>
          <cell r="G4506">
            <v>0.99955000000000005</v>
          </cell>
          <cell r="H4506">
            <v>0.999</v>
          </cell>
          <cell r="I4506">
            <v>0.99761999999999995</v>
          </cell>
          <cell r="J4506">
            <v>0.99687000000000003</v>
          </cell>
          <cell r="K4506">
            <v>0.99683999999999995</v>
          </cell>
          <cell r="L4506">
            <v>0.99612000000000001</v>
          </cell>
          <cell r="M4506">
            <v>0.99460999999999999</v>
          </cell>
          <cell r="N4506">
            <v>0.99194000000000004</v>
          </cell>
          <cell r="O4506">
            <v>0.98726999999999998</v>
          </cell>
          <cell r="P4506">
            <v>0.98016000000000003</v>
          </cell>
          <cell r="Q4506">
            <v>0.97045000000000003</v>
          </cell>
          <cell r="R4506">
            <v>0.95989999999999998</v>
          </cell>
          <cell r="S4506">
            <v>0.93452000000000002</v>
          </cell>
          <cell r="T4506">
            <v>0.90125</v>
          </cell>
          <cell r="U4506">
            <v>0.82481000000000004</v>
          </cell>
          <cell r="V4506">
            <v>0.68827000000000005</v>
          </cell>
          <cell r="W4506">
            <v>0.40961999999999998</v>
          </cell>
          <cell r="Y4506">
            <v>0.99929999999999997</v>
          </cell>
          <cell r="Z4506">
            <v>0.99970000000000003</v>
          </cell>
          <cell r="AA4506">
            <v>0.99970000000000003</v>
          </cell>
          <cell r="AB4506">
            <v>0.99895999999999996</v>
          </cell>
          <cell r="AC4506">
            <v>0.99861999999999995</v>
          </cell>
          <cell r="AD4506">
            <v>0.99846000000000001</v>
          </cell>
          <cell r="AE4506">
            <v>0.99789000000000005</v>
          </cell>
          <cell r="AF4506">
            <v>0.99702999999999997</v>
          </cell>
          <cell r="AG4506">
            <v>0.99573999999999996</v>
          </cell>
          <cell r="AH4506">
            <v>0.99382999999999999</v>
          </cell>
          <cell r="AI4506">
            <v>0.99090999999999996</v>
          </cell>
          <cell r="AJ4506">
            <v>0.98780999999999997</v>
          </cell>
          <cell r="AK4506">
            <v>0.98202999999999996</v>
          </cell>
          <cell r="AL4506">
            <v>0.97541999999999995</v>
          </cell>
          <cell r="AM4506">
            <v>0.96379000000000004</v>
          </cell>
          <cell r="AN4506">
            <v>0.92501</v>
          </cell>
          <cell r="AO4506">
            <v>0.84536</v>
          </cell>
          <cell r="AP4506">
            <v>0.51688000000000001</v>
          </cell>
        </row>
        <row r="4507">
          <cell r="D4507" t="str">
            <v>津南町</v>
          </cell>
          <cell r="E4507" t="str">
            <v>2025→2030</v>
          </cell>
          <cell r="F4507">
            <v>0.99939</v>
          </cell>
          <cell r="G4507">
            <v>0.99958999999999998</v>
          </cell>
          <cell r="H4507">
            <v>0.99909000000000003</v>
          </cell>
          <cell r="I4507">
            <v>0.99778</v>
          </cell>
          <cell r="J4507">
            <v>0.99700999999999995</v>
          </cell>
          <cell r="K4507">
            <v>0.99697999999999998</v>
          </cell>
          <cell r="L4507">
            <v>0.99633000000000005</v>
          </cell>
          <cell r="M4507">
            <v>0.99492000000000003</v>
          </cell>
          <cell r="N4507">
            <v>0.99238999999999999</v>
          </cell>
          <cell r="O4507">
            <v>0.98797000000000001</v>
          </cell>
          <cell r="P4507">
            <v>0.98119999999999996</v>
          </cell>
          <cell r="Q4507">
            <v>0.97192999999999996</v>
          </cell>
          <cell r="R4507">
            <v>0.96201999999999999</v>
          </cell>
          <cell r="S4507">
            <v>0.93761000000000005</v>
          </cell>
          <cell r="T4507">
            <v>0.90627999999999997</v>
          </cell>
          <cell r="U4507">
            <v>0.83482000000000001</v>
          </cell>
          <cell r="V4507">
            <v>0.70306000000000002</v>
          </cell>
          <cell r="W4507">
            <v>0.42121999999999998</v>
          </cell>
          <cell r="Y4507">
            <v>0.99936999999999998</v>
          </cell>
          <cell r="Z4507">
            <v>0.99973000000000001</v>
          </cell>
          <cell r="AA4507">
            <v>0.99970999999999999</v>
          </cell>
          <cell r="AB4507">
            <v>0.99902000000000002</v>
          </cell>
          <cell r="AC4507">
            <v>0.99870000000000003</v>
          </cell>
          <cell r="AD4507">
            <v>0.99853999999999998</v>
          </cell>
          <cell r="AE4507">
            <v>0.99800999999999995</v>
          </cell>
          <cell r="AF4507">
            <v>0.99717999999999996</v>
          </cell>
          <cell r="AG4507">
            <v>0.99595</v>
          </cell>
          <cell r="AH4507">
            <v>0.99412999999999996</v>
          </cell>
          <cell r="AI4507">
            <v>0.99131999999999998</v>
          </cell>
          <cell r="AJ4507">
            <v>0.98836999999999997</v>
          </cell>
          <cell r="AK4507">
            <v>0.98292000000000002</v>
          </cell>
          <cell r="AL4507">
            <v>0.9768</v>
          </cell>
          <cell r="AM4507">
            <v>0.96648999999999996</v>
          </cell>
          <cell r="AN4507">
            <v>0.93095000000000006</v>
          </cell>
          <cell r="AO4507">
            <v>0.85670999999999997</v>
          </cell>
          <cell r="AP4507">
            <v>0.52893000000000001</v>
          </cell>
        </row>
        <row r="4508">
          <cell r="D4508" t="str">
            <v>津南町</v>
          </cell>
          <cell r="E4508" t="str">
            <v>2030→2035</v>
          </cell>
          <cell r="F4508">
            <v>0.99944999999999995</v>
          </cell>
          <cell r="G4508">
            <v>0.99963000000000002</v>
          </cell>
          <cell r="H4508">
            <v>0.99917</v>
          </cell>
          <cell r="I4508">
            <v>0.99792000000000003</v>
          </cell>
          <cell r="J4508">
            <v>0.99714000000000003</v>
          </cell>
          <cell r="K4508">
            <v>0.99711000000000005</v>
          </cell>
          <cell r="L4508">
            <v>0.99651999999999996</v>
          </cell>
          <cell r="M4508">
            <v>0.99519000000000002</v>
          </cell>
          <cell r="N4508">
            <v>0.99278999999999995</v>
          </cell>
          <cell r="O4508">
            <v>0.98858999999999997</v>
          </cell>
          <cell r="P4508">
            <v>0.98211999999999999</v>
          </cell>
          <cell r="Q4508">
            <v>0.97321000000000002</v>
          </cell>
          <cell r="R4508">
            <v>0.96387999999999996</v>
          </cell>
          <cell r="S4508">
            <v>0.94033999999999995</v>
          </cell>
          <cell r="T4508">
            <v>0.91061999999999999</v>
          </cell>
          <cell r="U4508">
            <v>0.84360999999999997</v>
          </cell>
          <cell r="V4508">
            <v>0.71647000000000005</v>
          </cell>
          <cell r="W4508">
            <v>0.43189</v>
          </cell>
          <cell r="Y4508">
            <v>0.99941999999999998</v>
          </cell>
          <cell r="Z4508">
            <v>0.99975000000000003</v>
          </cell>
          <cell r="AA4508">
            <v>0.99972000000000005</v>
          </cell>
          <cell r="AB4508">
            <v>0.99907999999999997</v>
          </cell>
          <cell r="AC4508">
            <v>0.99878</v>
          </cell>
          <cell r="AD4508">
            <v>0.99861</v>
          </cell>
          <cell r="AE4508">
            <v>0.99811000000000005</v>
          </cell>
          <cell r="AF4508">
            <v>0.99731999999999998</v>
          </cell>
          <cell r="AG4508">
            <v>0.99614000000000003</v>
          </cell>
          <cell r="AH4508">
            <v>0.99438000000000004</v>
          </cell>
          <cell r="AI4508">
            <v>0.99168000000000001</v>
          </cell>
          <cell r="AJ4508">
            <v>0.98882999999999999</v>
          </cell>
          <cell r="AK4508">
            <v>0.98367000000000004</v>
          </cell>
          <cell r="AL4508">
            <v>0.97794999999999999</v>
          </cell>
          <cell r="AM4508">
            <v>0.96872000000000003</v>
          </cell>
          <cell r="AN4508">
            <v>0.93596999999999997</v>
          </cell>
          <cell r="AO4508">
            <v>0.86653000000000002</v>
          </cell>
          <cell r="AP4508">
            <v>0.53979999999999995</v>
          </cell>
        </row>
        <row r="4509">
          <cell r="D4509" t="str">
            <v>津南町</v>
          </cell>
          <cell r="E4509" t="str">
            <v>2035→2040</v>
          </cell>
          <cell r="F4509">
            <v>0.99950000000000006</v>
          </cell>
          <cell r="G4509">
            <v>0.99965999999999999</v>
          </cell>
          <cell r="H4509">
            <v>0.99924000000000002</v>
          </cell>
          <cell r="I4509">
            <v>0.99804999999999999</v>
          </cell>
          <cell r="J4509">
            <v>0.99726000000000004</v>
          </cell>
          <cell r="K4509">
            <v>0.99724000000000002</v>
          </cell>
          <cell r="L4509">
            <v>0.99668999999999996</v>
          </cell>
          <cell r="M4509">
            <v>0.99543999999999999</v>
          </cell>
          <cell r="N4509">
            <v>0.99314999999999998</v>
          </cell>
          <cell r="O4509">
            <v>0.98914000000000002</v>
          </cell>
          <cell r="P4509">
            <v>0.98294000000000004</v>
          </cell>
          <cell r="Q4509">
            <v>0.97431999999999996</v>
          </cell>
          <cell r="R4509">
            <v>0.96550000000000002</v>
          </cell>
          <cell r="S4509">
            <v>0.94277</v>
          </cell>
          <cell r="T4509">
            <v>0.91439999999999999</v>
          </cell>
          <cell r="U4509">
            <v>0.85136000000000001</v>
          </cell>
          <cell r="V4509">
            <v>0.72867000000000004</v>
          </cell>
          <cell r="W4509">
            <v>0.44172</v>
          </cell>
          <cell r="Y4509">
            <v>0.99946999999999997</v>
          </cell>
          <cell r="Z4509">
            <v>0.99977000000000005</v>
          </cell>
          <cell r="AA4509">
            <v>0.99973000000000001</v>
          </cell>
          <cell r="AB4509">
            <v>0.99912999999999996</v>
          </cell>
          <cell r="AC4509">
            <v>0.99883999999999995</v>
          </cell>
          <cell r="AD4509">
            <v>0.99868000000000001</v>
          </cell>
          <cell r="AE4509">
            <v>0.99819999999999998</v>
          </cell>
          <cell r="AF4509">
            <v>0.99743999999999999</v>
          </cell>
          <cell r="AG4509">
            <v>0.99629999999999996</v>
          </cell>
          <cell r="AH4509">
            <v>0.99460000000000004</v>
          </cell>
          <cell r="AI4509">
            <v>0.99199000000000004</v>
          </cell>
          <cell r="AJ4509">
            <v>0.98921999999999999</v>
          </cell>
          <cell r="AK4509">
            <v>0.98431000000000002</v>
          </cell>
          <cell r="AL4509">
            <v>0.97892000000000001</v>
          </cell>
          <cell r="AM4509">
            <v>0.97055999999999998</v>
          </cell>
          <cell r="AN4509">
            <v>0.94020000000000004</v>
          </cell>
          <cell r="AO4509">
            <v>0.87505999999999995</v>
          </cell>
          <cell r="AP4509">
            <v>0.54964999999999997</v>
          </cell>
        </row>
        <row r="4510">
          <cell r="D4510" t="str">
            <v>津南町</v>
          </cell>
          <cell r="E4510" t="str">
            <v>2040→2045</v>
          </cell>
          <cell r="F4510">
            <v>0.99953999999999998</v>
          </cell>
          <cell r="G4510">
            <v>0.99970000000000003</v>
          </cell>
          <cell r="H4510">
            <v>0.99929999999999997</v>
          </cell>
          <cell r="I4510">
            <v>0.99817</v>
          </cell>
          <cell r="J4510">
            <v>0.99736999999999998</v>
          </cell>
          <cell r="K4510">
            <v>0.99734999999999996</v>
          </cell>
          <cell r="L4510">
            <v>0.99685000000000001</v>
          </cell>
          <cell r="M4510">
            <v>0.99567000000000005</v>
          </cell>
          <cell r="N4510">
            <v>0.99346999999999996</v>
          </cell>
          <cell r="O4510">
            <v>0.98963999999999996</v>
          </cell>
          <cell r="P4510">
            <v>0.98368</v>
          </cell>
          <cell r="Q4510">
            <v>0.97529999999999994</v>
          </cell>
          <cell r="R4510">
            <v>0.96692999999999996</v>
          </cell>
          <cell r="S4510">
            <v>0.94493000000000005</v>
          </cell>
          <cell r="T4510">
            <v>0.91771000000000003</v>
          </cell>
          <cell r="U4510">
            <v>0.85823000000000005</v>
          </cell>
          <cell r="V4510">
            <v>0.73980000000000001</v>
          </cell>
          <cell r="W4510">
            <v>0.45080999999999999</v>
          </cell>
          <cell r="Y4510">
            <v>0.99951999999999996</v>
          </cell>
          <cell r="Z4510">
            <v>0.99978999999999996</v>
          </cell>
          <cell r="AA4510">
            <v>0.99973999999999996</v>
          </cell>
          <cell r="AB4510">
            <v>0.99917999999999996</v>
          </cell>
          <cell r="AC4510">
            <v>0.99890999999999996</v>
          </cell>
          <cell r="AD4510">
            <v>0.99873000000000001</v>
          </cell>
          <cell r="AE4510">
            <v>0.99827999999999995</v>
          </cell>
          <cell r="AF4510">
            <v>0.99755000000000005</v>
          </cell>
          <cell r="AG4510">
            <v>0.99643999999999999</v>
          </cell>
          <cell r="AH4510">
            <v>0.99478</v>
          </cell>
          <cell r="AI4510">
            <v>0.99226000000000003</v>
          </cell>
          <cell r="AJ4510">
            <v>0.98953999999999998</v>
          </cell>
          <cell r="AK4510">
            <v>0.98484000000000005</v>
          </cell>
          <cell r="AL4510">
            <v>0.97975000000000001</v>
          </cell>
          <cell r="AM4510">
            <v>0.97209000000000001</v>
          </cell>
          <cell r="AN4510">
            <v>0.94379999999999997</v>
          </cell>
          <cell r="AO4510">
            <v>0.88249999999999995</v>
          </cell>
          <cell r="AP4510">
            <v>0.55859000000000003</v>
          </cell>
        </row>
        <row r="4511">
          <cell r="D4511" t="str">
            <v>刈羽村</v>
          </cell>
          <cell r="E4511" t="str">
            <v>2015→2020</v>
          </cell>
          <cell r="F4511">
            <v>0.99922999999999995</v>
          </cell>
          <cell r="G4511">
            <v>0.99951000000000001</v>
          </cell>
          <cell r="H4511">
            <v>0.99890999999999996</v>
          </cell>
          <cell r="I4511">
            <v>0.99744999999999995</v>
          </cell>
          <cell r="J4511">
            <v>0.99673</v>
          </cell>
          <cell r="K4511">
            <v>0.99668999999999996</v>
          </cell>
          <cell r="L4511">
            <v>0.99589000000000005</v>
          </cell>
          <cell r="M4511">
            <v>0.99428000000000005</v>
          </cell>
          <cell r="N4511">
            <v>0.99145000000000005</v>
          </cell>
          <cell r="O4511">
            <v>0.98650000000000004</v>
          </cell>
          <cell r="P4511">
            <v>0.97901000000000005</v>
          </cell>
          <cell r="Q4511">
            <v>0.96877000000000002</v>
          </cell>
          <cell r="R4511">
            <v>0.95418999999999998</v>
          </cell>
          <cell r="S4511">
            <v>0.92927000000000004</v>
          </cell>
          <cell r="T4511">
            <v>0.88488</v>
          </cell>
          <cell r="U4511">
            <v>0.79056999999999999</v>
          </cell>
          <cell r="V4511">
            <v>0.64625999999999995</v>
          </cell>
          <cell r="W4511">
            <v>0.39085999999999999</v>
          </cell>
          <cell r="Y4511">
            <v>0.99922999999999995</v>
          </cell>
          <cell r="Z4511">
            <v>0.99966999999999995</v>
          </cell>
          <cell r="AA4511">
            <v>0.99968000000000001</v>
          </cell>
          <cell r="AB4511">
            <v>0.99888999999999994</v>
          </cell>
          <cell r="AC4511">
            <v>0.99853999999999998</v>
          </cell>
          <cell r="AD4511">
            <v>0.99836999999999998</v>
          </cell>
          <cell r="AE4511">
            <v>0.99777000000000005</v>
          </cell>
          <cell r="AF4511">
            <v>0.99685999999999997</v>
          </cell>
          <cell r="AG4511">
            <v>0.99548999999999999</v>
          </cell>
          <cell r="AH4511">
            <v>0.99348999999999998</v>
          </cell>
          <cell r="AI4511">
            <v>0.99043000000000003</v>
          </cell>
          <cell r="AJ4511">
            <v>0.98716000000000004</v>
          </cell>
          <cell r="AK4511">
            <v>0.98036999999999996</v>
          </cell>
          <cell r="AL4511">
            <v>0.97011999999999998</v>
          </cell>
          <cell r="AM4511">
            <v>0.94920000000000004</v>
          </cell>
          <cell r="AN4511">
            <v>0.90122999999999998</v>
          </cell>
          <cell r="AO4511">
            <v>0.80593999999999999</v>
          </cell>
          <cell r="AP4511">
            <v>0.48588999999999999</v>
          </cell>
        </row>
        <row r="4512">
          <cell r="D4512" t="str">
            <v>刈羽村</v>
          </cell>
          <cell r="E4512" t="str">
            <v>2020→2025</v>
          </cell>
          <cell r="F4512">
            <v>0.99931999999999999</v>
          </cell>
          <cell r="G4512">
            <v>0.99955000000000005</v>
          </cell>
          <cell r="H4512">
            <v>0.999</v>
          </cell>
          <cell r="I4512">
            <v>0.99761999999999995</v>
          </cell>
          <cell r="J4512">
            <v>0.99687000000000003</v>
          </cell>
          <cell r="K4512">
            <v>0.99683999999999995</v>
          </cell>
          <cell r="L4512">
            <v>0.99612000000000001</v>
          </cell>
          <cell r="M4512">
            <v>0.99460999999999999</v>
          </cell>
          <cell r="N4512">
            <v>0.99194000000000004</v>
          </cell>
          <cell r="O4512">
            <v>0.98726999999999998</v>
          </cell>
          <cell r="P4512">
            <v>0.98016000000000003</v>
          </cell>
          <cell r="Q4512">
            <v>0.97045000000000003</v>
          </cell>
          <cell r="R4512">
            <v>0.95657999999999999</v>
          </cell>
          <cell r="S4512">
            <v>0.93281000000000003</v>
          </cell>
          <cell r="T4512">
            <v>0.89085000000000003</v>
          </cell>
          <cell r="U4512">
            <v>0.80166999999999999</v>
          </cell>
          <cell r="V4512">
            <v>0.66203000000000001</v>
          </cell>
          <cell r="W4512">
            <v>0.40353</v>
          </cell>
          <cell r="Y4512">
            <v>0.99929999999999997</v>
          </cell>
          <cell r="Z4512">
            <v>0.99970000000000003</v>
          </cell>
          <cell r="AA4512">
            <v>0.99970000000000003</v>
          </cell>
          <cell r="AB4512">
            <v>0.99895999999999996</v>
          </cell>
          <cell r="AC4512">
            <v>0.99861999999999995</v>
          </cell>
          <cell r="AD4512">
            <v>0.99846000000000001</v>
          </cell>
          <cell r="AE4512">
            <v>0.99789000000000005</v>
          </cell>
          <cell r="AF4512">
            <v>0.99702999999999997</v>
          </cell>
          <cell r="AG4512">
            <v>0.99573999999999996</v>
          </cell>
          <cell r="AH4512">
            <v>0.99382999999999999</v>
          </cell>
          <cell r="AI4512">
            <v>0.99090999999999996</v>
          </cell>
          <cell r="AJ4512">
            <v>0.98780999999999997</v>
          </cell>
          <cell r="AK4512">
            <v>0.98141</v>
          </cell>
          <cell r="AL4512">
            <v>0.97175999999999996</v>
          </cell>
          <cell r="AM4512">
            <v>0.95248999999999995</v>
          </cell>
          <cell r="AN4512">
            <v>0.90817000000000003</v>
          </cell>
          <cell r="AO4512">
            <v>0.81879000000000002</v>
          </cell>
          <cell r="AP4512">
            <v>0.49896000000000001</v>
          </cell>
        </row>
        <row r="4513">
          <cell r="D4513" t="str">
            <v>刈羽村</v>
          </cell>
          <cell r="E4513" t="str">
            <v>2025→2030</v>
          </cell>
          <cell r="F4513">
            <v>0.99939</v>
          </cell>
          <cell r="G4513">
            <v>0.99958999999999998</v>
          </cell>
          <cell r="H4513">
            <v>0.99909000000000003</v>
          </cell>
          <cell r="I4513">
            <v>0.99778</v>
          </cell>
          <cell r="J4513">
            <v>0.99700999999999995</v>
          </cell>
          <cell r="K4513">
            <v>0.99697999999999998</v>
          </cell>
          <cell r="L4513">
            <v>0.99633000000000005</v>
          </cell>
          <cell r="M4513">
            <v>0.99492000000000003</v>
          </cell>
          <cell r="N4513">
            <v>0.99238999999999999</v>
          </cell>
          <cell r="O4513">
            <v>0.98797000000000001</v>
          </cell>
          <cell r="P4513">
            <v>0.98119999999999996</v>
          </cell>
          <cell r="Q4513">
            <v>0.97192999999999996</v>
          </cell>
          <cell r="R4513">
            <v>0.95869000000000004</v>
          </cell>
          <cell r="S4513">
            <v>0.93589</v>
          </cell>
          <cell r="T4513">
            <v>0.89581999999999995</v>
          </cell>
          <cell r="U4513">
            <v>0.81140000000000001</v>
          </cell>
          <cell r="V4513">
            <v>0.67625000000000002</v>
          </cell>
          <cell r="W4513">
            <v>0.41496</v>
          </cell>
          <cell r="Y4513">
            <v>0.99936999999999998</v>
          </cell>
          <cell r="Z4513">
            <v>0.99973000000000001</v>
          </cell>
          <cell r="AA4513">
            <v>0.99970999999999999</v>
          </cell>
          <cell r="AB4513">
            <v>0.99902000000000002</v>
          </cell>
          <cell r="AC4513">
            <v>0.99870000000000003</v>
          </cell>
          <cell r="AD4513">
            <v>0.99853999999999998</v>
          </cell>
          <cell r="AE4513">
            <v>0.99800999999999995</v>
          </cell>
          <cell r="AF4513">
            <v>0.99717999999999996</v>
          </cell>
          <cell r="AG4513">
            <v>0.99595</v>
          </cell>
          <cell r="AH4513">
            <v>0.99412999999999996</v>
          </cell>
          <cell r="AI4513">
            <v>0.99131999999999998</v>
          </cell>
          <cell r="AJ4513">
            <v>0.98836999999999997</v>
          </cell>
          <cell r="AK4513">
            <v>0.98229999999999995</v>
          </cell>
          <cell r="AL4513">
            <v>0.97313000000000005</v>
          </cell>
          <cell r="AM4513">
            <v>0.95516000000000001</v>
          </cell>
          <cell r="AN4513">
            <v>0.91400000000000003</v>
          </cell>
          <cell r="AO4513">
            <v>0.82979000000000003</v>
          </cell>
          <cell r="AP4513">
            <v>0.51058999999999999</v>
          </cell>
        </row>
        <row r="4514">
          <cell r="D4514" t="str">
            <v>刈羽村</v>
          </cell>
          <cell r="E4514" t="str">
            <v>2030→2035</v>
          </cell>
          <cell r="F4514">
            <v>0.99944999999999995</v>
          </cell>
          <cell r="G4514">
            <v>0.99963000000000002</v>
          </cell>
          <cell r="H4514">
            <v>0.99917</v>
          </cell>
          <cell r="I4514">
            <v>0.99792000000000003</v>
          </cell>
          <cell r="J4514">
            <v>0.99714000000000003</v>
          </cell>
          <cell r="K4514">
            <v>0.99711000000000005</v>
          </cell>
          <cell r="L4514">
            <v>0.99651999999999996</v>
          </cell>
          <cell r="M4514">
            <v>0.99519000000000002</v>
          </cell>
          <cell r="N4514">
            <v>0.99278999999999995</v>
          </cell>
          <cell r="O4514">
            <v>0.98858999999999997</v>
          </cell>
          <cell r="P4514">
            <v>0.98211999999999999</v>
          </cell>
          <cell r="Q4514">
            <v>0.97321000000000002</v>
          </cell>
          <cell r="R4514">
            <v>0.96053999999999995</v>
          </cell>
          <cell r="S4514">
            <v>0.93862000000000001</v>
          </cell>
          <cell r="T4514">
            <v>0.90010999999999997</v>
          </cell>
          <cell r="U4514">
            <v>0.81994</v>
          </cell>
          <cell r="V4514">
            <v>0.68915999999999999</v>
          </cell>
          <cell r="W4514">
            <v>0.42547000000000001</v>
          </cell>
          <cell r="Y4514">
            <v>0.99941999999999998</v>
          </cell>
          <cell r="Z4514">
            <v>0.99975000000000003</v>
          </cell>
          <cell r="AA4514">
            <v>0.99972000000000005</v>
          </cell>
          <cell r="AB4514">
            <v>0.99907999999999997</v>
          </cell>
          <cell r="AC4514">
            <v>0.99878</v>
          </cell>
          <cell r="AD4514">
            <v>0.99861</v>
          </cell>
          <cell r="AE4514">
            <v>0.99811000000000005</v>
          </cell>
          <cell r="AF4514">
            <v>0.99731999999999998</v>
          </cell>
          <cell r="AG4514">
            <v>0.99614000000000003</v>
          </cell>
          <cell r="AH4514">
            <v>0.99438000000000004</v>
          </cell>
          <cell r="AI4514">
            <v>0.99168000000000001</v>
          </cell>
          <cell r="AJ4514">
            <v>0.98882999999999999</v>
          </cell>
          <cell r="AK4514">
            <v>0.98306000000000004</v>
          </cell>
          <cell r="AL4514">
            <v>0.97426999999999997</v>
          </cell>
          <cell r="AM4514">
            <v>0.95735999999999999</v>
          </cell>
          <cell r="AN4514">
            <v>0.91893000000000002</v>
          </cell>
          <cell r="AO4514">
            <v>0.83930000000000005</v>
          </cell>
          <cell r="AP4514">
            <v>0.52109000000000005</v>
          </cell>
        </row>
        <row r="4515">
          <cell r="D4515" t="str">
            <v>刈羽村</v>
          </cell>
          <cell r="E4515" t="str">
            <v>2035→2040</v>
          </cell>
          <cell r="F4515">
            <v>0.99950000000000006</v>
          </cell>
          <cell r="G4515">
            <v>0.99965999999999999</v>
          </cell>
          <cell r="H4515">
            <v>0.99924000000000002</v>
          </cell>
          <cell r="I4515">
            <v>0.99804999999999999</v>
          </cell>
          <cell r="J4515">
            <v>0.99726000000000004</v>
          </cell>
          <cell r="K4515">
            <v>0.99724000000000002</v>
          </cell>
          <cell r="L4515">
            <v>0.99668999999999996</v>
          </cell>
          <cell r="M4515">
            <v>0.99543999999999999</v>
          </cell>
          <cell r="N4515">
            <v>0.99314999999999998</v>
          </cell>
          <cell r="O4515">
            <v>0.98914000000000002</v>
          </cell>
          <cell r="P4515">
            <v>0.98294000000000004</v>
          </cell>
          <cell r="Q4515">
            <v>0.97431999999999996</v>
          </cell>
          <cell r="R4515">
            <v>0.96216000000000002</v>
          </cell>
          <cell r="S4515">
            <v>0.94103999999999999</v>
          </cell>
          <cell r="T4515">
            <v>0.90383999999999998</v>
          </cell>
          <cell r="U4515">
            <v>0.82747999999999999</v>
          </cell>
          <cell r="V4515">
            <v>0.70089000000000001</v>
          </cell>
          <cell r="W4515">
            <v>0.43515999999999999</v>
          </cell>
          <cell r="Y4515">
            <v>0.99946999999999997</v>
          </cell>
          <cell r="Z4515">
            <v>0.99977000000000005</v>
          </cell>
          <cell r="AA4515">
            <v>0.99973000000000001</v>
          </cell>
          <cell r="AB4515">
            <v>0.99912999999999996</v>
          </cell>
          <cell r="AC4515">
            <v>0.99883999999999995</v>
          </cell>
          <cell r="AD4515">
            <v>0.99868000000000001</v>
          </cell>
          <cell r="AE4515">
            <v>0.99819999999999998</v>
          </cell>
          <cell r="AF4515">
            <v>0.99743999999999999</v>
          </cell>
          <cell r="AG4515">
            <v>0.99629999999999996</v>
          </cell>
          <cell r="AH4515">
            <v>0.99460000000000004</v>
          </cell>
          <cell r="AI4515">
            <v>0.99199000000000004</v>
          </cell>
          <cell r="AJ4515">
            <v>0.98921999999999999</v>
          </cell>
          <cell r="AK4515">
            <v>0.98368999999999995</v>
          </cell>
          <cell r="AL4515">
            <v>0.97524</v>
          </cell>
          <cell r="AM4515">
            <v>0.95918000000000003</v>
          </cell>
          <cell r="AN4515">
            <v>0.92308000000000001</v>
          </cell>
          <cell r="AO4515">
            <v>0.84755999999999998</v>
          </cell>
          <cell r="AP4515">
            <v>0.53059000000000001</v>
          </cell>
        </row>
        <row r="4516">
          <cell r="D4516" t="str">
            <v>刈羽村</v>
          </cell>
          <cell r="E4516" t="str">
            <v>2040→2045</v>
          </cell>
          <cell r="F4516">
            <v>0.99953999999999998</v>
          </cell>
          <cell r="G4516">
            <v>0.99970000000000003</v>
          </cell>
          <cell r="H4516">
            <v>0.99929999999999997</v>
          </cell>
          <cell r="I4516">
            <v>0.99817</v>
          </cell>
          <cell r="J4516">
            <v>0.99736999999999998</v>
          </cell>
          <cell r="K4516">
            <v>0.99734999999999996</v>
          </cell>
          <cell r="L4516">
            <v>0.99685000000000001</v>
          </cell>
          <cell r="M4516">
            <v>0.99567000000000005</v>
          </cell>
          <cell r="N4516">
            <v>0.99346999999999996</v>
          </cell>
          <cell r="O4516">
            <v>0.98963999999999996</v>
          </cell>
          <cell r="P4516">
            <v>0.98368</v>
          </cell>
          <cell r="Q4516">
            <v>0.97529999999999994</v>
          </cell>
          <cell r="R4516">
            <v>0.96358999999999995</v>
          </cell>
          <cell r="S4516">
            <v>0.94320000000000004</v>
          </cell>
          <cell r="T4516">
            <v>0.90712000000000004</v>
          </cell>
          <cell r="U4516">
            <v>0.83414999999999995</v>
          </cell>
          <cell r="V4516">
            <v>0.71158999999999994</v>
          </cell>
          <cell r="W4516">
            <v>0.44411</v>
          </cell>
          <cell r="Y4516">
            <v>0.99951999999999996</v>
          </cell>
          <cell r="Z4516">
            <v>0.99978999999999996</v>
          </cell>
          <cell r="AA4516">
            <v>0.99973999999999996</v>
          </cell>
          <cell r="AB4516">
            <v>0.99917999999999996</v>
          </cell>
          <cell r="AC4516">
            <v>0.99890999999999996</v>
          </cell>
          <cell r="AD4516">
            <v>0.99873000000000001</v>
          </cell>
          <cell r="AE4516">
            <v>0.99827999999999995</v>
          </cell>
          <cell r="AF4516">
            <v>0.99755000000000005</v>
          </cell>
          <cell r="AG4516">
            <v>0.99643999999999999</v>
          </cell>
          <cell r="AH4516">
            <v>0.99478</v>
          </cell>
          <cell r="AI4516">
            <v>0.99226000000000003</v>
          </cell>
          <cell r="AJ4516">
            <v>0.98953999999999998</v>
          </cell>
          <cell r="AK4516">
            <v>0.98423000000000005</v>
          </cell>
          <cell r="AL4516">
            <v>0.97606999999999999</v>
          </cell>
          <cell r="AM4516">
            <v>0.96069000000000004</v>
          </cell>
          <cell r="AN4516">
            <v>0.92662</v>
          </cell>
          <cell r="AO4516">
            <v>0.85477000000000003</v>
          </cell>
          <cell r="AP4516">
            <v>0.53922000000000003</v>
          </cell>
        </row>
        <row r="4517">
          <cell r="D4517" t="str">
            <v>関川村</v>
          </cell>
          <cell r="E4517" t="str">
            <v>2015→2020</v>
          </cell>
          <cell r="F4517">
            <v>0.99922999999999995</v>
          </cell>
          <cell r="G4517">
            <v>0.99951000000000001</v>
          </cell>
          <cell r="H4517">
            <v>0.99890999999999996</v>
          </cell>
          <cell r="I4517">
            <v>0.99744999999999995</v>
          </cell>
          <cell r="J4517">
            <v>0.99673</v>
          </cell>
          <cell r="K4517">
            <v>0.99668999999999996</v>
          </cell>
          <cell r="L4517">
            <v>0.99589000000000005</v>
          </cell>
          <cell r="M4517">
            <v>0.99428000000000005</v>
          </cell>
          <cell r="N4517">
            <v>0.99145000000000005</v>
          </cell>
          <cell r="O4517">
            <v>0.98650000000000004</v>
          </cell>
          <cell r="P4517">
            <v>0.97901000000000005</v>
          </cell>
          <cell r="Q4517">
            <v>0.96877000000000002</v>
          </cell>
          <cell r="R4517">
            <v>0.94943999999999995</v>
          </cell>
          <cell r="S4517">
            <v>0.92273000000000005</v>
          </cell>
          <cell r="T4517">
            <v>0.88188</v>
          </cell>
          <cell r="U4517">
            <v>0.79437999999999998</v>
          </cell>
          <cell r="V4517">
            <v>0.64659999999999995</v>
          </cell>
          <cell r="W4517">
            <v>0.36908000000000002</v>
          </cell>
          <cell r="Y4517">
            <v>0.99922999999999995</v>
          </cell>
          <cell r="Z4517">
            <v>0.99966999999999995</v>
          </cell>
          <cell r="AA4517">
            <v>0.99968000000000001</v>
          </cell>
          <cell r="AB4517">
            <v>0.99888999999999994</v>
          </cell>
          <cell r="AC4517">
            <v>0.99853999999999998</v>
          </cell>
          <cell r="AD4517">
            <v>0.99836999999999998</v>
          </cell>
          <cell r="AE4517">
            <v>0.99777000000000005</v>
          </cell>
          <cell r="AF4517">
            <v>0.99685999999999997</v>
          </cell>
          <cell r="AG4517">
            <v>0.99548999999999999</v>
          </cell>
          <cell r="AH4517">
            <v>0.99348999999999998</v>
          </cell>
          <cell r="AI4517">
            <v>0.99043000000000003</v>
          </cell>
          <cell r="AJ4517">
            <v>0.98716000000000004</v>
          </cell>
          <cell r="AK4517">
            <v>0.98187000000000002</v>
          </cell>
          <cell r="AL4517">
            <v>0.97416000000000003</v>
          </cell>
          <cell r="AM4517">
            <v>0.95384999999999998</v>
          </cell>
          <cell r="AN4517">
            <v>0.90774999999999995</v>
          </cell>
          <cell r="AO4517">
            <v>0.81225999999999998</v>
          </cell>
          <cell r="AP4517">
            <v>0.49380000000000002</v>
          </cell>
        </row>
        <row r="4518">
          <cell r="D4518" t="str">
            <v>関川村</v>
          </cell>
          <cell r="E4518" t="str">
            <v>2020→2025</v>
          </cell>
          <cell r="F4518">
            <v>0.99931999999999999</v>
          </cell>
          <cell r="G4518">
            <v>0.99955000000000005</v>
          </cell>
          <cell r="H4518">
            <v>0.999</v>
          </cell>
          <cell r="I4518">
            <v>0.99761999999999995</v>
          </cell>
          <cell r="J4518">
            <v>0.99687000000000003</v>
          </cell>
          <cell r="K4518">
            <v>0.99683999999999995</v>
          </cell>
          <cell r="L4518">
            <v>0.99612000000000001</v>
          </cell>
          <cell r="M4518">
            <v>0.99460999999999999</v>
          </cell>
          <cell r="N4518">
            <v>0.99194000000000004</v>
          </cell>
          <cell r="O4518">
            <v>0.98726999999999998</v>
          </cell>
          <cell r="P4518">
            <v>0.98016000000000003</v>
          </cell>
          <cell r="Q4518">
            <v>0.97045000000000003</v>
          </cell>
          <cell r="R4518">
            <v>0.95182</v>
          </cell>
          <cell r="S4518">
            <v>0.92623999999999995</v>
          </cell>
          <cell r="T4518">
            <v>0.88783000000000001</v>
          </cell>
          <cell r="U4518">
            <v>0.80554000000000003</v>
          </cell>
          <cell r="V4518">
            <v>0.66237999999999997</v>
          </cell>
          <cell r="W4518">
            <v>0.38105</v>
          </cell>
          <cell r="Y4518">
            <v>0.99929999999999997</v>
          </cell>
          <cell r="Z4518">
            <v>0.99970000000000003</v>
          </cell>
          <cell r="AA4518">
            <v>0.99970000000000003</v>
          </cell>
          <cell r="AB4518">
            <v>0.99895999999999996</v>
          </cell>
          <cell r="AC4518">
            <v>0.99861999999999995</v>
          </cell>
          <cell r="AD4518">
            <v>0.99846000000000001</v>
          </cell>
          <cell r="AE4518">
            <v>0.99789000000000005</v>
          </cell>
          <cell r="AF4518">
            <v>0.99702999999999997</v>
          </cell>
          <cell r="AG4518">
            <v>0.99573999999999996</v>
          </cell>
          <cell r="AH4518">
            <v>0.99382999999999999</v>
          </cell>
          <cell r="AI4518">
            <v>0.99090999999999996</v>
          </cell>
          <cell r="AJ4518">
            <v>0.98780999999999997</v>
          </cell>
          <cell r="AK4518">
            <v>0.98292000000000002</v>
          </cell>
          <cell r="AL4518">
            <v>0.9758</v>
          </cell>
          <cell r="AM4518">
            <v>0.95714999999999995</v>
          </cell>
          <cell r="AN4518">
            <v>0.91474</v>
          </cell>
          <cell r="AO4518">
            <v>0.82521999999999995</v>
          </cell>
          <cell r="AP4518">
            <v>0.50707999999999998</v>
          </cell>
        </row>
        <row r="4519">
          <cell r="D4519" t="str">
            <v>関川村</v>
          </cell>
          <cell r="E4519" t="str">
            <v>2025→2030</v>
          </cell>
          <cell r="F4519">
            <v>0.99939</v>
          </cell>
          <cell r="G4519">
            <v>0.99958999999999998</v>
          </cell>
          <cell r="H4519">
            <v>0.99909000000000003</v>
          </cell>
          <cell r="I4519">
            <v>0.99778</v>
          </cell>
          <cell r="J4519">
            <v>0.99700999999999995</v>
          </cell>
          <cell r="K4519">
            <v>0.99697999999999998</v>
          </cell>
          <cell r="L4519">
            <v>0.99633000000000005</v>
          </cell>
          <cell r="M4519">
            <v>0.99492000000000003</v>
          </cell>
          <cell r="N4519">
            <v>0.99238999999999999</v>
          </cell>
          <cell r="O4519">
            <v>0.98797000000000001</v>
          </cell>
          <cell r="P4519">
            <v>0.98119999999999996</v>
          </cell>
          <cell r="Q4519">
            <v>0.97192999999999996</v>
          </cell>
          <cell r="R4519">
            <v>0.95392999999999994</v>
          </cell>
          <cell r="S4519">
            <v>0.92930000000000001</v>
          </cell>
          <cell r="T4519">
            <v>0.89278000000000002</v>
          </cell>
          <cell r="U4519">
            <v>0.81530999999999998</v>
          </cell>
          <cell r="V4519">
            <v>0.67661000000000004</v>
          </cell>
          <cell r="W4519">
            <v>0.39183000000000001</v>
          </cell>
          <cell r="Y4519">
            <v>0.99936999999999998</v>
          </cell>
          <cell r="Z4519">
            <v>0.99973000000000001</v>
          </cell>
          <cell r="AA4519">
            <v>0.99970999999999999</v>
          </cell>
          <cell r="AB4519">
            <v>0.99902000000000002</v>
          </cell>
          <cell r="AC4519">
            <v>0.99870000000000003</v>
          </cell>
          <cell r="AD4519">
            <v>0.99853999999999998</v>
          </cell>
          <cell r="AE4519">
            <v>0.99800999999999995</v>
          </cell>
          <cell r="AF4519">
            <v>0.99717999999999996</v>
          </cell>
          <cell r="AG4519">
            <v>0.99595</v>
          </cell>
          <cell r="AH4519">
            <v>0.99412999999999996</v>
          </cell>
          <cell r="AI4519">
            <v>0.99131999999999998</v>
          </cell>
          <cell r="AJ4519">
            <v>0.98836999999999997</v>
          </cell>
          <cell r="AK4519">
            <v>0.98380999999999996</v>
          </cell>
          <cell r="AL4519">
            <v>0.97718000000000005</v>
          </cell>
          <cell r="AM4519">
            <v>0.95984000000000003</v>
          </cell>
          <cell r="AN4519">
            <v>0.92061999999999999</v>
          </cell>
          <cell r="AO4519">
            <v>0.83630000000000004</v>
          </cell>
          <cell r="AP4519">
            <v>0.51890000000000003</v>
          </cell>
        </row>
        <row r="4520">
          <cell r="D4520" t="str">
            <v>関川村</v>
          </cell>
          <cell r="E4520" t="str">
            <v>2030→2035</v>
          </cell>
          <cell r="F4520">
            <v>0.99944999999999995</v>
          </cell>
          <cell r="G4520">
            <v>0.99963000000000002</v>
          </cell>
          <cell r="H4520">
            <v>0.99917</v>
          </cell>
          <cell r="I4520">
            <v>0.99792000000000003</v>
          </cell>
          <cell r="J4520">
            <v>0.99714000000000003</v>
          </cell>
          <cell r="K4520">
            <v>0.99711000000000005</v>
          </cell>
          <cell r="L4520">
            <v>0.99651999999999996</v>
          </cell>
          <cell r="M4520">
            <v>0.99519000000000002</v>
          </cell>
          <cell r="N4520">
            <v>0.99278999999999995</v>
          </cell>
          <cell r="O4520">
            <v>0.98858999999999997</v>
          </cell>
          <cell r="P4520">
            <v>0.98211999999999999</v>
          </cell>
          <cell r="Q4520">
            <v>0.97321000000000002</v>
          </cell>
          <cell r="R4520">
            <v>0.95576000000000005</v>
          </cell>
          <cell r="S4520">
            <v>0.93201000000000001</v>
          </cell>
          <cell r="T4520">
            <v>0.89705999999999997</v>
          </cell>
          <cell r="U4520">
            <v>0.82389999999999997</v>
          </cell>
          <cell r="V4520">
            <v>0.68952000000000002</v>
          </cell>
          <cell r="W4520">
            <v>0.40175</v>
          </cell>
          <cell r="Y4520">
            <v>0.99941999999999998</v>
          </cell>
          <cell r="Z4520">
            <v>0.99975000000000003</v>
          </cell>
          <cell r="AA4520">
            <v>0.99972000000000005</v>
          </cell>
          <cell r="AB4520">
            <v>0.99907999999999997</v>
          </cell>
          <cell r="AC4520">
            <v>0.99878</v>
          </cell>
          <cell r="AD4520">
            <v>0.99861</v>
          </cell>
          <cell r="AE4520">
            <v>0.99811000000000005</v>
          </cell>
          <cell r="AF4520">
            <v>0.99731999999999998</v>
          </cell>
          <cell r="AG4520">
            <v>0.99614000000000003</v>
          </cell>
          <cell r="AH4520">
            <v>0.99438000000000004</v>
          </cell>
          <cell r="AI4520">
            <v>0.99168000000000001</v>
          </cell>
          <cell r="AJ4520">
            <v>0.98882999999999999</v>
          </cell>
          <cell r="AK4520">
            <v>0.98455999999999999</v>
          </cell>
          <cell r="AL4520">
            <v>0.97833000000000003</v>
          </cell>
          <cell r="AM4520">
            <v>0.96204999999999996</v>
          </cell>
          <cell r="AN4520">
            <v>0.92557999999999996</v>
          </cell>
          <cell r="AO4520">
            <v>0.84587999999999997</v>
          </cell>
          <cell r="AP4520">
            <v>0.52956999999999999</v>
          </cell>
        </row>
        <row r="4521">
          <cell r="D4521" t="str">
            <v>関川村</v>
          </cell>
          <cell r="E4521" t="str">
            <v>2035→2040</v>
          </cell>
          <cell r="F4521">
            <v>0.99950000000000006</v>
          </cell>
          <cell r="G4521">
            <v>0.99965999999999999</v>
          </cell>
          <cell r="H4521">
            <v>0.99924000000000002</v>
          </cell>
          <cell r="I4521">
            <v>0.99804999999999999</v>
          </cell>
          <cell r="J4521">
            <v>0.99726000000000004</v>
          </cell>
          <cell r="K4521">
            <v>0.99724000000000002</v>
          </cell>
          <cell r="L4521">
            <v>0.99668999999999996</v>
          </cell>
          <cell r="M4521">
            <v>0.99543999999999999</v>
          </cell>
          <cell r="N4521">
            <v>0.99314999999999998</v>
          </cell>
          <cell r="O4521">
            <v>0.98914000000000002</v>
          </cell>
          <cell r="P4521">
            <v>0.98294000000000004</v>
          </cell>
          <cell r="Q4521">
            <v>0.97431999999999996</v>
          </cell>
          <cell r="R4521">
            <v>0.95738000000000001</v>
          </cell>
          <cell r="S4521">
            <v>0.93440999999999996</v>
          </cell>
          <cell r="T4521">
            <v>0.90078000000000003</v>
          </cell>
          <cell r="U4521">
            <v>0.83147000000000004</v>
          </cell>
          <cell r="V4521">
            <v>0.70125999999999999</v>
          </cell>
          <cell r="W4521">
            <v>0.41089999999999999</v>
          </cell>
          <cell r="Y4521">
            <v>0.99946999999999997</v>
          </cell>
          <cell r="Z4521">
            <v>0.99977000000000005</v>
          </cell>
          <cell r="AA4521">
            <v>0.99973000000000001</v>
          </cell>
          <cell r="AB4521">
            <v>0.99912999999999996</v>
          </cell>
          <cell r="AC4521">
            <v>0.99883999999999995</v>
          </cell>
          <cell r="AD4521">
            <v>0.99868000000000001</v>
          </cell>
          <cell r="AE4521">
            <v>0.99819999999999998</v>
          </cell>
          <cell r="AF4521">
            <v>0.99743999999999999</v>
          </cell>
          <cell r="AG4521">
            <v>0.99629999999999996</v>
          </cell>
          <cell r="AH4521">
            <v>0.99460000000000004</v>
          </cell>
          <cell r="AI4521">
            <v>0.99199000000000004</v>
          </cell>
          <cell r="AJ4521">
            <v>0.98921999999999999</v>
          </cell>
          <cell r="AK4521">
            <v>0.98519999999999996</v>
          </cell>
          <cell r="AL4521">
            <v>0.97929999999999995</v>
          </cell>
          <cell r="AM4521">
            <v>0.96387999999999996</v>
          </cell>
          <cell r="AN4521">
            <v>0.92976000000000003</v>
          </cell>
          <cell r="AO4521">
            <v>0.85421000000000002</v>
          </cell>
          <cell r="AP4521">
            <v>0.53922000000000003</v>
          </cell>
        </row>
        <row r="4522">
          <cell r="D4522" t="str">
            <v>関川村</v>
          </cell>
          <cell r="E4522" t="str">
            <v>2040→2045</v>
          </cell>
          <cell r="F4522">
            <v>0.99953999999999998</v>
          </cell>
          <cell r="G4522">
            <v>0.99970000000000003</v>
          </cell>
          <cell r="H4522">
            <v>0.99929999999999997</v>
          </cell>
          <cell r="I4522">
            <v>0.99817</v>
          </cell>
          <cell r="J4522">
            <v>0.99736999999999998</v>
          </cell>
          <cell r="K4522">
            <v>0.99734999999999996</v>
          </cell>
          <cell r="L4522">
            <v>0.99685000000000001</v>
          </cell>
          <cell r="M4522">
            <v>0.99567000000000005</v>
          </cell>
          <cell r="N4522">
            <v>0.99346999999999996</v>
          </cell>
          <cell r="O4522">
            <v>0.98963999999999996</v>
          </cell>
          <cell r="P4522">
            <v>0.98368</v>
          </cell>
          <cell r="Q4522">
            <v>0.97529999999999994</v>
          </cell>
          <cell r="R4522">
            <v>0.95879000000000003</v>
          </cell>
          <cell r="S4522">
            <v>0.93655999999999995</v>
          </cell>
          <cell r="T4522">
            <v>0.90405000000000002</v>
          </cell>
          <cell r="U4522">
            <v>0.83816999999999997</v>
          </cell>
          <cell r="V4522">
            <v>0.71196999999999999</v>
          </cell>
          <cell r="W4522">
            <v>0.41936000000000001</v>
          </cell>
          <cell r="Y4522">
            <v>0.99951999999999996</v>
          </cell>
          <cell r="Z4522">
            <v>0.99978999999999996</v>
          </cell>
          <cell r="AA4522">
            <v>0.99973999999999996</v>
          </cell>
          <cell r="AB4522">
            <v>0.99917999999999996</v>
          </cell>
          <cell r="AC4522">
            <v>0.99890999999999996</v>
          </cell>
          <cell r="AD4522">
            <v>0.99873000000000001</v>
          </cell>
          <cell r="AE4522">
            <v>0.99827999999999995</v>
          </cell>
          <cell r="AF4522">
            <v>0.99755000000000005</v>
          </cell>
          <cell r="AG4522">
            <v>0.99643999999999999</v>
          </cell>
          <cell r="AH4522">
            <v>0.99478</v>
          </cell>
          <cell r="AI4522">
            <v>0.99226000000000003</v>
          </cell>
          <cell r="AJ4522">
            <v>0.98953999999999998</v>
          </cell>
          <cell r="AK4522">
            <v>0.98573</v>
          </cell>
          <cell r="AL4522">
            <v>0.98012999999999995</v>
          </cell>
          <cell r="AM4522">
            <v>0.96538999999999997</v>
          </cell>
          <cell r="AN4522">
            <v>0.93332000000000004</v>
          </cell>
          <cell r="AO4522">
            <v>0.86148000000000002</v>
          </cell>
          <cell r="AP4522">
            <v>0.54798999999999998</v>
          </cell>
        </row>
        <row r="4523">
          <cell r="D4523" t="str">
            <v>粟島浦村</v>
          </cell>
          <cell r="E4523" t="str">
            <v>2015→2020</v>
          </cell>
          <cell r="F4523">
            <v>0.99922999999999995</v>
          </cell>
          <cell r="G4523">
            <v>0.99951000000000001</v>
          </cell>
          <cell r="H4523">
            <v>0.99890999999999996</v>
          </cell>
          <cell r="I4523">
            <v>0.99744999999999995</v>
          </cell>
          <cell r="J4523">
            <v>0.99673</v>
          </cell>
          <cell r="K4523">
            <v>0.99668999999999996</v>
          </cell>
          <cell r="L4523">
            <v>0.99589000000000005</v>
          </cell>
          <cell r="M4523">
            <v>0.99428000000000005</v>
          </cell>
          <cell r="N4523">
            <v>0.99145000000000005</v>
          </cell>
          <cell r="O4523">
            <v>0.98650000000000004</v>
          </cell>
          <cell r="P4523">
            <v>0.97901000000000005</v>
          </cell>
          <cell r="Q4523">
            <v>0.96877000000000002</v>
          </cell>
          <cell r="R4523">
            <v>0.95069000000000004</v>
          </cell>
          <cell r="S4523">
            <v>0.92410999999999999</v>
          </cell>
          <cell r="T4523">
            <v>0.88022</v>
          </cell>
          <cell r="U4523">
            <v>0.79074</v>
          </cell>
          <cell r="V4523">
            <v>0.64693000000000001</v>
          </cell>
          <cell r="W4523">
            <v>0.38190000000000002</v>
          </cell>
          <cell r="Y4523">
            <v>0.99922999999999995</v>
          </cell>
          <cell r="Z4523">
            <v>0.99966999999999995</v>
          </cell>
          <cell r="AA4523">
            <v>0.99968000000000001</v>
          </cell>
          <cell r="AB4523">
            <v>0.99888999999999994</v>
          </cell>
          <cell r="AC4523">
            <v>0.99853999999999998</v>
          </cell>
          <cell r="AD4523">
            <v>0.99836999999999998</v>
          </cell>
          <cell r="AE4523">
            <v>0.99777000000000005</v>
          </cell>
          <cell r="AF4523">
            <v>0.99685999999999997</v>
          </cell>
          <cell r="AG4523">
            <v>0.99548999999999999</v>
          </cell>
          <cell r="AH4523">
            <v>0.99348999999999998</v>
          </cell>
          <cell r="AI4523">
            <v>0.99043000000000003</v>
          </cell>
          <cell r="AJ4523">
            <v>0.98716000000000004</v>
          </cell>
          <cell r="AK4523">
            <v>0.98141999999999996</v>
          </cell>
          <cell r="AL4523">
            <v>0.97204999999999997</v>
          </cell>
          <cell r="AM4523">
            <v>0.95162000000000002</v>
          </cell>
          <cell r="AN4523">
            <v>0.90510000000000002</v>
          </cell>
          <cell r="AO4523">
            <v>0.80544000000000004</v>
          </cell>
          <cell r="AP4523">
            <v>0.48326000000000002</v>
          </cell>
        </row>
        <row r="4524">
          <cell r="D4524" t="str">
            <v>粟島浦村</v>
          </cell>
          <cell r="E4524" t="str">
            <v>2020→2025</v>
          </cell>
          <cell r="F4524">
            <v>0.99931999999999999</v>
          </cell>
          <cell r="G4524">
            <v>0.99955000000000005</v>
          </cell>
          <cell r="H4524">
            <v>0.999</v>
          </cell>
          <cell r="I4524">
            <v>0.99761999999999995</v>
          </cell>
          <cell r="J4524">
            <v>0.99687000000000003</v>
          </cell>
          <cell r="K4524">
            <v>0.99683999999999995</v>
          </cell>
          <cell r="L4524">
            <v>0.99612000000000001</v>
          </cell>
          <cell r="M4524">
            <v>0.99460999999999999</v>
          </cell>
          <cell r="N4524">
            <v>0.99194000000000004</v>
          </cell>
          <cell r="O4524">
            <v>0.98726999999999998</v>
          </cell>
          <cell r="P4524">
            <v>0.98016000000000003</v>
          </cell>
          <cell r="Q4524">
            <v>0.97045000000000003</v>
          </cell>
          <cell r="R4524">
            <v>0.95308000000000004</v>
          </cell>
          <cell r="S4524">
            <v>0.92762999999999995</v>
          </cell>
          <cell r="T4524">
            <v>0.88614999999999999</v>
          </cell>
          <cell r="U4524">
            <v>0.80184</v>
          </cell>
          <cell r="V4524">
            <v>0.66271000000000002</v>
          </cell>
          <cell r="W4524">
            <v>0.39428000000000002</v>
          </cell>
          <cell r="Y4524">
            <v>0.99929999999999997</v>
          </cell>
          <cell r="Z4524">
            <v>0.99970000000000003</v>
          </cell>
          <cell r="AA4524">
            <v>0.99970000000000003</v>
          </cell>
          <cell r="AB4524">
            <v>0.99895999999999996</v>
          </cell>
          <cell r="AC4524">
            <v>0.99861999999999995</v>
          </cell>
          <cell r="AD4524">
            <v>0.99846000000000001</v>
          </cell>
          <cell r="AE4524">
            <v>0.99789000000000005</v>
          </cell>
          <cell r="AF4524">
            <v>0.99702999999999997</v>
          </cell>
          <cell r="AG4524">
            <v>0.99573999999999996</v>
          </cell>
          <cell r="AH4524">
            <v>0.99382999999999999</v>
          </cell>
          <cell r="AI4524">
            <v>0.99090999999999996</v>
          </cell>
          <cell r="AJ4524">
            <v>0.98780999999999997</v>
          </cell>
          <cell r="AK4524">
            <v>0.98246999999999995</v>
          </cell>
          <cell r="AL4524">
            <v>0.97367999999999999</v>
          </cell>
          <cell r="AM4524">
            <v>0.95491999999999999</v>
          </cell>
          <cell r="AN4524">
            <v>0.91207000000000005</v>
          </cell>
          <cell r="AO4524">
            <v>0.81828999999999996</v>
          </cell>
          <cell r="AP4524">
            <v>0.49625999999999998</v>
          </cell>
        </row>
        <row r="4525">
          <cell r="D4525" t="str">
            <v>粟島浦村</v>
          </cell>
          <cell r="E4525" t="str">
            <v>2025→2030</v>
          </cell>
          <cell r="F4525">
            <v>0.99939</v>
          </cell>
          <cell r="G4525">
            <v>0.99958999999999998</v>
          </cell>
          <cell r="H4525">
            <v>0.99909000000000003</v>
          </cell>
          <cell r="I4525">
            <v>0.99778</v>
          </cell>
          <cell r="J4525">
            <v>0.99700999999999995</v>
          </cell>
          <cell r="K4525">
            <v>0.99697999999999998</v>
          </cell>
          <cell r="L4525">
            <v>0.99633000000000005</v>
          </cell>
          <cell r="M4525">
            <v>0.99492000000000003</v>
          </cell>
          <cell r="N4525">
            <v>0.99238999999999999</v>
          </cell>
          <cell r="O4525">
            <v>0.98797000000000001</v>
          </cell>
          <cell r="P4525">
            <v>0.98119999999999996</v>
          </cell>
          <cell r="Q4525">
            <v>0.97192999999999996</v>
          </cell>
          <cell r="R4525">
            <v>0.95518000000000003</v>
          </cell>
          <cell r="S4525">
            <v>0.93069999999999997</v>
          </cell>
          <cell r="T4525">
            <v>0.89109000000000005</v>
          </cell>
          <cell r="U4525">
            <v>0.81157000000000001</v>
          </cell>
          <cell r="V4525">
            <v>0.67695000000000005</v>
          </cell>
          <cell r="W4525">
            <v>0.40544000000000002</v>
          </cell>
          <cell r="Y4525">
            <v>0.99936999999999998</v>
          </cell>
          <cell r="Z4525">
            <v>0.99973000000000001</v>
          </cell>
          <cell r="AA4525">
            <v>0.99970999999999999</v>
          </cell>
          <cell r="AB4525">
            <v>0.99902000000000002</v>
          </cell>
          <cell r="AC4525">
            <v>0.99870000000000003</v>
          </cell>
          <cell r="AD4525">
            <v>0.99853999999999998</v>
          </cell>
          <cell r="AE4525">
            <v>0.99800999999999995</v>
          </cell>
          <cell r="AF4525">
            <v>0.99717999999999996</v>
          </cell>
          <cell r="AG4525">
            <v>0.99595</v>
          </cell>
          <cell r="AH4525">
            <v>0.99412999999999996</v>
          </cell>
          <cell r="AI4525">
            <v>0.99131999999999998</v>
          </cell>
          <cell r="AJ4525">
            <v>0.98836999999999997</v>
          </cell>
          <cell r="AK4525">
            <v>0.98336000000000001</v>
          </cell>
          <cell r="AL4525">
            <v>0.97506000000000004</v>
          </cell>
          <cell r="AM4525">
            <v>0.95760000000000001</v>
          </cell>
          <cell r="AN4525">
            <v>0.91793000000000002</v>
          </cell>
          <cell r="AO4525">
            <v>0.82926999999999995</v>
          </cell>
          <cell r="AP4525">
            <v>0.50782000000000005</v>
          </cell>
        </row>
        <row r="4526">
          <cell r="D4526" t="str">
            <v>粟島浦村</v>
          </cell>
          <cell r="E4526" t="str">
            <v>2030→2035</v>
          </cell>
          <cell r="F4526">
            <v>0.99944999999999995</v>
          </cell>
          <cell r="G4526">
            <v>0.99963000000000002</v>
          </cell>
          <cell r="H4526">
            <v>0.99917</v>
          </cell>
          <cell r="I4526">
            <v>0.99792000000000003</v>
          </cell>
          <cell r="J4526">
            <v>0.99714000000000003</v>
          </cell>
          <cell r="K4526">
            <v>0.99711000000000005</v>
          </cell>
          <cell r="L4526">
            <v>0.99651999999999996</v>
          </cell>
          <cell r="M4526">
            <v>0.99519000000000002</v>
          </cell>
          <cell r="N4526">
            <v>0.99278999999999995</v>
          </cell>
          <cell r="O4526">
            <v>0.98858999999999997</v>
          </cell>
          <cell r="P4526">
            <v>0.98211999999999999</v>
          </cell>
          <cell r="Q4526">
            <v>0.97321000000000002</v>
          </cell>
          <cell r="R4526">
            <v>0.95701999999999998</v>
          </cell>
          <cell r="S4526">
            <v>0.93340999999999996</v>
          </cell>
          <cell r="T4526">
            <v>0.89536000000000004</v>
          </cell>
          <cell r="U4526">
            <v>0.82011999999999996</v>
          </cell>
          <cell r="V4526">
            <v>0.68986999999999998</v>
          </cell>
          <cell r="W4526">
            <v>0.41571000000000002</v>
          </cell>
          <cell r="Y4526">
            <v>0.99941999999999998</v>
          </cell>
          <cell r="Z4526">
            <v>0.99975000000000003</v>
          </cell>
          <cell r="AA4526">
            <v>0.99972000000000005</v>
          </cell>
          <cell r="AB4526">
            <v>0.99907999999999997</v>
          </cell>
          <cell r="AC4526">
            <v>0.99878</v>
          </cell>
          <cell r="AD4526">
            <v>0.99861</v>
          </cell>
          <cell r="AE4526">
            <v>0.99811000000000005</v>
          </cell>
          <cell r="AF4526">
            <v>0.99731999999999998</v>
          </cell>
          <cell r="AG4526">
            <v>0.99614000000000003</v>
          </cell>
          <cell r="AH4526">
            <v>0.99438000000000004</v>
          </cell>
          <cell r="AI4526">
            <v>0.99168000000000001</v>
          </cell>
          <cell r="AJ4526">
            <v>0.98882999999999999</v>
          </cell>
          <cell r="AK4526">
            <v>0.98411000000000004</v>
          </cell>
          <cell r="AL4526">
            <v>0.97621000000000002</v>
          </cell>
          <cell r="AM4526">
            <v>0.95979999999999999</v>
          </cell>
          <cell r="AN4526">
            <v>0.92286999999999997</v>
          </cell>
          <cell r="AO4526">
            <v>0.83877999999999997</v>
          </cell>
          <cell r="AP4526">
            <v>0.51826000000000005</v>
          </cell>
        </row>
        <row r="4527">
          <cell r="D4527" t="str">
            <v>粟島浦村</v>
          </cell>
          <cell r="E4527" t="str">
            <v>2035→2040</v>
          </cell>
          <cell r="F4527">
            <v>0.99950000000000006</v>
          </cell>
          <cell r="G4527">
            <v>0.99965999999999999</v>
          </cell>
          <cell r="H4527">
            <v>0.99924000000000002</v>
          </cell>
          <cell r="I4527">
            <v>0.99804999999999999</v>
          </cell>
          <cell r="J4527">
            <v>0.99726000000000004</v>
          </cell>
          <cell r="K4527">
            <v>0.99724000000000002</v>
          </cell>
          <cell r="L4527">
            <v>0.99668999999999996</v>
          </cell>
          <cell r="M4527">
            <v>0.99543999999999999</v>
          </cell>
          <cell r="N4527">
            <v>0.99314999999999998</v>
          </cell>
          <cell r="O4527">
            <v>0.98914000000000002</v>
          </cell>
          <cell r="P4527">
            <v>0.98294000000000004</v>
          </cell>
          <cell r="Q4527">
            <v>0.97431999999999996</v>
          </cell>
          <cell r="R4527">
            <v>0.95864000000000005</v>
          </cell>
          <cell r="S4527">
            <v>0.93581999999999999</v>
          </cell>
          <cell r="T4527">
            <v>0.89907000000000004</v>
          </cell>
          <cell r="U4527">
            <v>0.82765999999999995</v>
          </cell>
          <cell r="V4527">
            <v>0.70162000000000002</v>
          </cell>
          <cell r="W4527">
            <v>0.42518</v>
          </cell>
          <cell r="Y4527">
            <v>0.99946999999999997</v>
          </cell>
          <cell r="Z4527">
            <v>0.99977000000000005</v>
          </cell>
          <cell r="AA4527">
            <v>0.99973000000000001</v>
          </cell>
          <cell r="AB4527">
            <v>0.99912999999999996</v>
          </cell>
          <cell r="AC4527">
            <v>0.99883999999999995</v>
          </cell>
          <cell r="AD4527">
            <v>0.99868000000000001</v>
          </cell>
          <cell r="AE4527">
            <v>0.99819999999999998</v>
          </cell>
          <cell r="AF4527">
            <v>0.99743999999999999</v>
          </cell>
          <cell r="AG4527">
            <v>0.99629999999999996</v>
          </cell>
          <cell r="AH4527">
            <v>0.99460000000000004</v>
          </cell>
          <cell r="AI4527">
            <v>0.99199000000000004</v>
          </cell>
          <cell r="AJ4527">
            <v>0.98921999999999999</v>
          </cell>
          <cell r="AK4527">
            <v>0.98475000000000001</v>
          </cell>
          <cell r="AL4527">
            <v>0.97718000000000005</v>
          </cell>
          <cell r="AM4527">
            <v>0.96162999999999998</v>
          </cell>
          <cell r="AN4527">
            <v>0.92705000000000004</v>
          </cell>
          <cell r="AO4527">
            <v>0.84704000000000002</v>
          </cell>
          <cell r="AP4527">
            <v>0.52771000000000001</v>
          </cell>
        </row>
        <row r="4528">
          <cell r="D4528" t="str">
            <v>粟島浦村</v>
          </cell>
          <cell r="E4528" t="str">
            <v>2040→2045</v>
          </cell>
          <cell r="F4528">
            <v>0.99953999999999998</v>
          </cell>
          <cell r="G4528">
            <v>0.99970000000000003</v>
          </cell>
          <cell r="H4528">
            <v>0.99929999999999997</v>
          </cell>
          <cell r="I4528">
            <v>0.99817</v>
          </cell>
          <cell r="J4528">
            <v>0.99736999999999998</v>
          </cell>
          <cell r="K4528">
            <v>0.99734999999999996</v>
          </cell>
          <cell r="L4528">
            <v>0.99685000000000001</v>
          </cell>
          <cell r="M4528">
            <v>0.99567000000000005</v>
          </cell>
          <cell r="N4528">
            <v>0.99346999999999996</v>
          </cell>
          <cell r="O4528">
            <v>0.98963999999999996</v>
          </cell>
          <cell r="P4528">
            <v>0.98368</v>
          </cell>
          <cell r="Q4528">
            <v>0.97529999999999994</v>
          </cell>
          <cell r="R4528">
            <v>0.96006000000000002</v>
          </cell>
          <cell r="S4528">
            <v>0.93796000000000002</v>
          </cell>
          <cell r="T4528">
            <v>0.90232999999999997</v>
          </cell>
          <cell r="U4528">
            <v>0.83433000000000002</v>
          </cell>
          <cell r="V4528">
            <v>0.71233000000000002</v>
          </cell>
          <cell r="W4528">
            <v>0.43392999999999998</v>
          </cell>
          <cell r="Y4528">
            <v>0.99951999999999996</v>
          </cell>
          <cell r="Z4528">
            <v>0.99978999999999996</v>
          </cell>
          <cell r="AA4528">
            <v>0.99973999999999996</v>
          </cell>
          <cell r="AB4528">
            <v>0.99917999999999996</v>
          </cell>
          <cell r="AC4528">
            <v>0.99890999999999996</v>
          </cell>
          <cell r="AD4528">
            <v>0.99873000000000001</v>
          </cell>
          <cell r="AE4528">
            <v>0.99827999999999995</v>
          </cell>
          <cell r="AF4528">
            <v>0.99755000000000005</v>
          </cell>
          <cell r="AG4528">
            <v>0.99643999999999999</v>
          </cell>
          <cell r="AH4528">
            <v>0.99478</v>
          </cell>
          <cell r="AI4528">
            <v>0.99226000000000003</v>
          </cell>
          <cell r="AJ4528">
            <v>0.98953999999999998</v>
          </cell>
          <cell r="AK4528">
            <v>0.98528000000000004</v>
          </cell>
          <cell r="AL4528">
            <v>0.97799999999999998</v>
          </cell>
          <cell r="AM4528">
            <v>0.96314</v>
          </cell>
          <cell r="AN4528">
            <v>0.93059999999999998</v>
          </cell>
          <cell r="AO4528">
            <v>0.85424</v>
          </cell>
          <cell r="AP4528">
            <v>0.5363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4343">
          <cell r="D4343">
            <v>0</v>
          </cell>
          <cell r="E4343" t="str">
            <v>2015→2020</v>
          </cell>
          <cell r="F4343">
            <v>7.8399999999999997E-3</v>
          </cell>
          <cell r="G4343">
            <v>5.4999999999999997E-3</v>
          </cell>
          <cell r="H4343">
            <v>-4.727E-2</v>
          </cell>
          <cell r="I4343">
            <v>-0.12841</v>
          </cell>
          <cell r="J4343">
            <v>2.453E-2</v>
          </cell>
          <cell r="K4343">
            <v>1.567E-2</v>
          </cell>
          <cell r="L4343">
            <v>1.014E-2</v>
          </cell>
          <cell r="M4343">
            <v>2.9199999999999999E-3</v>
          </cell>
          <cell r="N4343">
            <v>-7.5000000000000002E-4</v>
          </cell>
          <cell r="O4343">
            <v>-2.5000000000000001E-4</v>
          </cell>
          <cell r="P4343">
            <v>3.1099999999999999E-3</v>
          </cell>
          <cell r="Q4343">
            <v>7.0400000000000003E-3</v>
          </cell>
          <cell r="R4343">
            <v>1.8400000000000001E-3</v>
          </cell>
          <cell r="S4343">
            <v>1E-4</v>
          </cell>
          <cell r="T4343">
            <v>-1.3699999999999999E-3</v>
          </cell>
          <cell r="U4343">
            <v>-1.6199999999999999E-3</v>
          </cell>
          <cell r="V4343">
            <v>-3.2799999999999999E-3</v>
          </cell>
          <cell r="W4343">
            <v>3.7870000000000001E-2</v>
          </cell>
          <cell r="Y4343">
            <v>1.3100000000000001E-2</v>
          </cell>
          <cell r="Z4343">
            <v>4.0899999999999999E-3</v>
          </cell>
          <cell r="AA4343">
            <v>-4.5839999999999999E-2</v>
          </cell>
          <cell r="AB4343">
            <v>-0.14727000000000001</v>
          </cell>
          <cell r="AC4343">
            <v>8.8599999999999998E-3</v>
          </cell>
          <cell r="AD4343">
            <v>9.9299999999999996E-3</v>
          </cell>
          <cell r="AE4343">
            <v>4.79E-3</v>
          </cell>
          <cell r="AF4343">
            <v>1.08E-3</v>
          </cell>
          <cell r="AG4343">
            <v>-1.9499999999999999E-3</v>
          </cell>
          <cell r="AH4343">
            <v>-3.0000000000000001E-3</v>
          </cell>
          <cell r="AI4343">
            <v>1.15E-3</v>
          </cell>
          <cell r="AJ4343">
            <v>1.82E-3</v>
          </cell>
          <cell r="AK4343">
            <v>-5.5000000000000003E-4</v>
          </cell>
          <cell r="AL4343">
            <v>-2.0100000000000001E-3</v>
          </cell>
          <cell r="AM4343">
            <v>-4.0499999999999998E-3</v>
          </cell>
          <cell r="AN4343">
            <v>-2.9299999999999999E-3</v>
          </cell>
          <cell r="AO4343">
            <v>-4.64E-3</v>
          </cell>
          <cell r="AP4343">
            <v>4.8480000000000002E-2</v>
          </cell>
        </row>
        <row r="4344">
          <cell r="D4344">
            <v>0</v>
          </cell>
          <cell r="E4344" t="str">
            <v>2020→2025</v>
          </cell>
          <cell r="F4344">
            <v>9.0299999999999998E-3</v>
          </cell>
          <cell r="G4344">
            <v>6.1700000000000001E-3</v>
          </cell>
          <cell r="H4344">
            <v>-4.7480000000000001E-2</v>
          </cell>
          <cell r="I4344">
            <v>-0.12939000000000001</v>
          </cell>
          <cell r="J4344">
            <v>2.1389999999999999E-2</v>
          </cell>
          <cell r="K4344">
            <v>1.7989999999999999E-2</v>
          </cell>
          <cell r="L4344">
            <v>1.21E-2</v>
          </cell>
          <cell r="M4344">
            <v>5.7099999999999998E-3</v>
          </cell>
          <cell r="N4344">
            <v>-1E-4</v>
          </cell>
          <cell r="O4344">
            <v>-2.1000000000000001E-4</v>
          </cell>
          <cell r="P4344">
            <v>3.0799999999999998E-3</v>
          </cell>
          <cell r="Q4344">
            <v>8.0199999999999994E-3</v>
          </cell>
          <cell r="R4344">
            <v>2.7000000000000001E-3</v>
          </cell>
          <cell r="S4344">
            <v>-1.41E-3</v>
          </cell>
          <cell r="T4344">
            <v>1.4599999999999999E-3</v>
          </cell>
          <cell r="U4344">
            <v>-3.1099999999999999E-3</v>
          </cell>
          <cell r="V4344">
            <v>-4.8599999999999997E-3</v>
          </cell>
          <cell r="W4344">
            <v>3.1829999999999997E-2</v>
          </cell>
          <cell r="Y4344">
            <v>1.4930000000000001E-2</v>
          </cell>
          <cell r="Z4344">
            <v>4.9899999999999996E-3</v>
          </cell>
          <cell r="AA4344">
            <v>-4.4999999999999998E-2</v>
          </cell>
          <cell r="AB4344">
            <v>-0.14537</v>
          </cell>
          <cell r="AC4344">
            <v>7.3600000000000002E-3</v>
          </cell>
          <cell r="AD4344">
            <v>1.1560000000000001E-2</v>
          </cell>
          <cell r="AE4344">
            <v>7.3000000000000001E-3</v>
          </cell>
          <cell r="AF4344">
            <v>3.64E-3</v>
          </cell>
          <cell r="AG4344">
            <v>-1E-3</v>
          </cell>
          <cell r="AH4344">
            <v>-2.8E-3</v>
          </cell>
          <cell r="AI4344">
            <v>1.23E-3</v>
          </cell>
          <cell r="AJ4344">
            <v>2.2200000000000002E-3</v>
          </cell>
          <cell r="AK4344">
            <v>2.0000000000000001E-4</v>
          </cell>
          <cell r="AL4344">
            <v>-2.7799999999999999E-3</v>
          </cell>
          <cell r="AM4344">
            <v>-2.3700000000000001E-3</v>
          </cell>
          <cell r="AN4344">
            <v>-3.3500000000000001E-3</v>
          </cell>
          <cell r="AO4344">
            <v>-5.5999999999999999E-3</v>
          </cell>
          <cell r="AP4344">
            <v>4.2320000000000003E-2</v>
          </cell>
        </row>
        <row r="4345">
          <cell r="D4345">
            <v>0</v>
          </cell>
          <cell r="E4345" t="str">
            <v>2025→2030</v>
          </cell>
          <cell r="F4345">
            <v>9.8499999999999994E-3</v>
          </cell>
          <cell r="G4345">
            <v>6.3699999999999998E-3</v>
          </cell>
          <cell r="H4345">
            <v>-4.5359999999999998E-2</v>
          </cell>
          <cell r="I4345">
            <v>-0.13000999999999999</v>
          </cell>
          <cell r="J4345">
            <v>1.7500000000000002E-2</v>
          </cell>
          <cell r="K4345">
            <v>1.6219999999999998E-2</v>
          </cell>
          <cell r="L4345">
            <v>1.2630000000000001E-2</v>
          </cell>
          <cell r="M4345">
            <v>6.11E-3</v>
          </cell>
          <cell r="N4345">
            <v>9.7000000000000005E-4</v>
          </cell>
          <cell r="O4345">
            <v>2.3000000000000001E-4</v>
          </cell>
          <cell r="P4345">
            <v>2.8400000000000001E-3</v>
          </cell>
          <cell r="Q4345">
            <v>8.5299999999999994E-3</v>
          </cell>
          <cell r="R4345">
            <v>3.4099999999999998E-3</v>
          </cell>
          <cell r="S4345">
            <v>-6.8999999999999997E-4</v>
          </cell>
          <cell r="T4345">
            <v>-1.3500000000000001E-3</v>
          </cell>
          <cell r="U4345">
            <v>1.67E-3</v>
          </cell>
          <cell r="V4345">
            <v>-7.2899999999999996E-3</v>
          </cell>
          <cell r="W4345">
            <v>2.461E-2</v>
          </cell>
          <cell r="Y4345">
            <v>1.5890000000000001E-2</v>
          </cell>
          <cell r="Z4345">
            <v>5.2100000000000002E-3</v>
          </cell>
          <cell r="AA4345">
            <v>-4.3540000000000002E-2</v>
          </cell>
          <cell r="AB4345">
            <v>-0.14365</v>
          </cell>
          <cell r="AC4345">
            <v>4.2300000000000003E-3</v>
          </cell>
          <cell r="AD4345">
            <v>1.0529999999999999E-2</v>
          </cell>
          <cell r="AE4345">
            <v>7.3899999999999999E-3</v>
          </cell>
          <cell r="AF4345">
            <v>4.1799999999999997E-3</v>
          </cell>
          <cell r="AG4345">
            <v>-1.2E-4</v>
          </cell>
          <cell r="AH4345">
            <v>-2.3E-3</v>
          </cell>
          <cell r="AI4345">
            <v>1.2999999999999999E-3</v>
          </cell>
          <cell r="AJ4345">
            <v>2.3600000000000001E-3</v>
          </cell>
          <cell r="AK4345">
            <v>6.8000000000000005E-4</v>
          </cell>
          <cell r="AL4345">
            <v>-2.2699999999999999E-3</v>
          </cell>
          <cell r="AM4345">
            <v>-3.7499999999999999E-3</v>
          </cell>
          <cell r="AN4345">
            <v>0</v>
          </cell>
          <cell r="AO4345">
            <v>-6.5300000000000002E-3</v>
          </cell>
          <cell r="AP4345">
            <v>3.286E-2</v>
          </cell>
        </row>
        <row r="4346">
          <cell r="D4346">
            <v>0</v>
          </cell>
          <cell r="E4346" t="str">
            <v>2030→2035</v>
          </cell>
          <cell r="F4346">
            <v>1.044E-2</v>
          </cell>
          <cell r="G4346">
            <v>6.62E-3</v>
          </cell>
          <cell r="H4346">
            <v>-4.4850000000000001E-2</v>
          </cell>
          <cell r="I4346">
            <v>-0.12742999999999999</v>
          </cell>
          <cell r="J4346">
            <v>1.495E-2</v>
          </cell>
          <cell r="K4346">
            <v>1.3639999999999999E-2</v>
          </cell>
          <cell r="L4346">
            <v>1.013E-2</v>
          </cell>
          <cell r="M4346">
            <v>5.9699999999999996E-3</v>
          </cell>
          <cell r="N4346">
            <v>1.1999999999999999E-3</v>
          </cell>
          <cell r="O4346">
            <v>8.4000000000000003E-4</v>
          </cell>
          <cell r="P4346">
            <v>3.9300000000000003E-3</v>
          </cell>
          <cell r="Q4346">
            <v>8.2500000000000004E-3</v>
          </cell>
          <cell r="R4346">
            <v>3.5799999999999998E-3</v>
          </cell>
          <cell r="S4346">
            <v>-3.0000000000000001E-5</v>
          </cell>
          <cell r="T4346">
            <v>-3.8999999999999999E-4</v>
          </cell>
          <cell r="U4346">
            <v>-3.1099999999999999E-3</v>
          </cell>
          <cell r="V4346">
            <v>-1.2999999999999999E-4</v>
          </cell>
          <cell r="W4346">
            <v>2.196E-2</v>
          </cell>
          <cell r="Y4346">
            <v>1.6549999999999999E-2</v>
          </cell>
          <cell r="Z4346">
            <v>5.4900000000000001E-3</v>
          </cell>
          <cell r="AA4346">
            <v>-4.2880000000000001E-2</v>
          </cell>
          <cell r="AB4346">
            <v>-0.14205999999999999</v>
          </cell>
          <cell r="AC4346">
            <v>1.4300000000000001E-3</v>
          </cell>
          <cell r="AD4346">
            <v>8.7399999999999995E-3</v>
          </cell>
          <cell r="AE4346">
            <v>5.5999999999999999E-3</v>
          </cell>
          <cell r="AF4346">
            <v>3.8500000000000001E-3</v>
          </cell>
          <cell r="AG4346">
            <v>8.0000000000000007E-5</v>
          </cell>
          <cell r="AH4346">
            <v>-1.98E-3</v>
          </cell>
          <cell r="AI4346">
            <v>1.81E-3</v>
          </cell>
          <cell r="AJ4346">
            <v>2.3900000000000002E-3</v>
          </cell>
          <cell r="AK4346">
            <v>7.5000000000000002E-4</v>
          </cell>
          <cell r="AL4346">
            <v>-2E-3</v>
          </cell>
          <cell r="AM4346">
            <v>-3.1800000000000001E-3</v>
          </cell>
          <cell r="AN4346">
            <v>-2.8700000000000002E-3</v>
          </cell>
          <cell r="AO4346">
            <v>-4.4999999999999999E-4</v>
          </cell>
          <cell r="AP4346">
            <v>3.1300000000000001E-2</v>
          </cell>
        </row>
        <row r="4347">
          <cell r="D4347">
            <v>0</v>
          </cell>
          <cell r="E4347" t="str">
            <v>2035→2040</v>
          </cell>
          <cell r="F4347">
            <v>1.0840000000000001E-2</v>
          </cell>
          <cell r="G4347">
            <v>6.7400000000000003E-3</v>
          </cell>
          <cell r="H4347">
            <v>-4.444E-2</v>
          </cell>
          <cell r="I4347">
            <v>-0.12659000000000001</v>
          </cell>
          <cell r="J4347">
            <v>1.243E-2</v>
          </cell>
          <cell r="K4347">
            <v>1.256E-2</v>
          </cell>
          <cell r="L4347">
            <v>8.1899999999999994E-3</v>
          </cell>
          <cell r="M4347">
            <v>5.5900000000000004E-3</v>
          </cell>
          <cell r="N4347">
            <v>8.5999999999999998E-4</v>
          </cell>
          <cell r="O4347">
            <v>1.0300000000000001E-3</v>
          </cell>
          <cell r="P4347">
            <v>4.2900000000000004E-3</v>
          </cell>
          <cell r="Q4347">
            <v>9.1199999999999996E-3</v>
          </cell>
          <cell r="R4347">
            <v>2.9499999999999999E-3</v>
          </cell>
          <cell r="S4347">
            <v>2.7E-4</v>
          </cell>
          <cell r="T4347">
            <v>6.9999999999999994E-5</v>
          </cell>
          <cell r="U4347">
            <v>-1.5E-3</v>
          </cell>
          <cell r="V4347">
            <v>-6.9300000000000004E-3</v>
          </cell>
          <cell r="W4347">
            <v>3.2329999999999998E-2</v>
          </cell>
          <cell r="Y4347">
            <v>1.6930000000000001E-2</v>
          </cell>
          <cell r="Z4347">
            <v>5.6600000000000001E-3</v>
          </cell>
          <cell r="AA4347">
            <v>-4.2290000000000001E-2</v>
          </cell>
          <cell r="AB4347">
            <v>-0.14113000000000001</v>
          </cell>
          <cell r="AC4347">
            <v>-4.2000000000000002E-4</v>
          </cell>
          <cell r="AD4347">
            <v>7.43E-3</v>
          </cell>
          <cell r="AE4347">
            <v>4.45E-3</v>
          </cell>
          <cell r="AF4347">
            <v>3.7699999999999999E-3</v>
          </cell>
          <cell r="AG4347">
            <v>-2.4000000000000001E-4</v>
          </cell>
          <cell r="AH4347">
            <v>-1.7600000000000001E-3</v>
          </cell>
          <cell r="AI4347">
            <v>1.9599999999999999E-3</v>
          </cell>
          <cell r="AJ4347">
            <v>2.8800000000000002E-3</v>
          </cell>
          <cell r="AK4347">
            <v>6.7000000000000002E-4</v>
          </cell>
          <cell r="AL4347">
            <v>-1.8799999999999999E-3</v>
          </cell>
          <cell r="AM4347">
            <v>-3.0300000000000001E-3</v>
          </cell>
          <cell r="AN4347">
            <v>-1.8799999999999999E-3</v>
          </cell>
          <cell r="AO4347">
            <v>-5.1500000000000001E-3</v>
          </cell>
          <cell r="AP4347">
            <v>4.2279999999999998E-2</v>
          </cell>
        </row>
        <row r="4348">
          <cell r="D4348">
            <v>0</v>
          </cell>
          <cell r="E4348" t="str">
            <v>2040→2045</v>
          </cell>
          <cell r="F4348">
            <v>1.103E-2</v>
          </cell>
          <cell r="G4348">
            <v>6.7799999999999996E-3</v>
          </cell>
          <cell r="H4348">
            <v>-4.3979999999999998E-2</v>
          </cell>
          <cell r="I4348">
            <v>-0.12640999999999999</v>
          </cell>
          <cell r="J4348">
            <v>1.11E-2</v>
          </cell>
          <cell r="K4348">
            <v>1.3270000000000001E-2</v>
          </cell>
          <cell r="L4348">
            <v>7.4999999999999997E-3</v>
          </cell>
          <cell r="M4348">
            <v>5.1200000000000004E-3</v>
          </cell>
          <cell r="N4348">
            <v>2.7E-4</v>
          </cell>
          <cell r="O4348">
            <v>9.1E-4</v>
          </cell>
          <cell r="P4348">
            <v>4.5799999999999999E-3</v>
          </cell>
          <cell r="Q4348">
            <v>9.4800000000000006E-3</v>
          </cell>
          <cell r="R4348">
            <v>2.9399999999999999E-3</v>
          </cell>
          <cell r="S4348">
            <v>-5.4000000000000001E-4</v>
          </cell>
          <cell r="T4348">
            <v>4.8000000000000001E-4</v>
          </cell>
          <cell r="U4348">
            <v>-7.7999999999999999E-4</v>
          </cell>
          <cell r="V4348">
            <v>-4.3800000000000002E-3</v>
          </cell>
          <cell r="W4348">
            <v>9.8700000000000003E-3</v>
          </cell>
          <cell r="Y4348">
            <v>1.7069999999999998E-2</v>
          </cell>
          <cell r="Z4348">
            <v>5.7099999999999998E-3</v>
          </cell>
          <cell r="AA4348">
            <v>-4.163E-2</v>
          </cell>
          <cell r="AB4348">
            <v>-0.14063999999999999</v>
          </cell>
          <cell r="AC4348">
            <v>-1.14E-3</v>
          </cell>
          <cell r="AD4348">
            <v>7.6899999999999998E-3</v>
          </cell>
          <cell r="AE4348">
            <v>3.9699999999999996E-3</v>
          </cell>
          <cell r="AF4348">
            <v>3.63E-3</v>
          </cell>
          <cell r="AG4348">
            <v>-5.2999999999999998E-4</v>
          </cell>
          <cell r="AH4348">
            <v>-1.89E-3</v>
          </cell>
          <cell r="AI4348">
            <v>2.3E-3</v>
          </cell>
          <cell r="AJ4348">
            <v>3.0999999999999999E-3</v>
          </cell>
          <cell r="AK4348">
            <v>8.8999999999999995E-4</v>
          </cell>
          <cell r="AL4348">
            <v>-2.1199999999999999E-3</v>
          </cell>
          <cell r="AM4348">
            <v>-2.8600000000000001E-3</v>
          </cell>
          <cell r="AN4348">
            <v>-1.2099999999999999E-3</v>
          </cell>
          <cell r="AO4348">
            <v>-3.4299999999999999E-3</v>
          </cell>
          <cell r="AP4348">
            <v>1.9810000000000001E-2</v>
          </cell>
        </row>
        <row r="4349">
          <cell r="D4349" t="str">
            <v>新潟市</v>
          </cell>
          <cell r="E4349" t="str">
            <v>2015→2020</v>
          </cell>
          <cell r="F4349">
            <v>1.6199999999999999E-2</v>
          </cell>
          <cell r="G4349">
            <v>1.074E-2</v>
          </cell>
          <cell r="H4349">
            <v>3.8150000000000003E-2</v>
          </cell>
          <cell r="I4349">
            <v>1.58E-3</v>
          </cell>
          <cell r="J4349">
            <v>-5.7160000000000002E-2</v>
          </cell>
          <cell r="K4349">
            <v>2.4819999999999998E-2</v>
          </cell>
          <cell r="L4349">
            <v>3.3430000000000001E-2</v>
          </cell>
          <cell r="M4349">
            <v>1.244E-2</v>
          </cell>
          <cell r="N4349">
            <v>9.75E-3</v>
          </cell>
          <cell r="O4349">
            <v>1.5299999999999999E-3</v>
          </cell>
          <cell r="P4349">
            <v>9.92E-3</v>
          </cell>
          <cell r="Q4349">
            <v>2.1700000000000001E-2</v>
          </cell>
          <cell r="R4349">
            <v>5.9899999999999997E-3</v>
          </cell>
          <cell r="S4349">
            <v>4.7499999999999999E-3</v>
          </cell>
          <cell r="T4349">
            <v>3.7499999999999999E-3</v>
          </cell>
          <cell r="U4349">
            <v>3.7599999999999999E-3</v>
          </cell>
          <cell r="V4349">
            <v>9.7300000000000008E-3</v>
          </cell>
          <cell r="W4349">
            <v>5.0479999999999997E-2</v>
          </cell>
          <cell r="Y4349">
            <v>2.0240000000000001E-2</v>
          </cell>
          <cell r="Z4349">
            <v>1.1730000000000001E-2</v>
          </cell>
          <cell r="AA4349">
            <v>6.8489999999999995E-2</v>
          </cell>
          <cell r="AB4349">
            <v>8.7100000000000007E-3</v>
          </cell>
          <cell r="AC4349">
            <v>-5.0360000000000002E-2</v>
          </cell>
          <cell r="AD4349">
            <v>1.154E-2</v>
          </cell>
          <cell r="AE4349">
            <v>1.6080000000000001E-2</v>
          </cell>
          <cell r="AF4349">
            <v>1.0319999999999999E-2</v>
          </cell>
          <cell r="AG4349">
            <v>2.47E-3</v>
          </cell>
          <cell r="AH4349">
            <v>-2.0000000000000002E-5</v>
          </cell>
          <cell r="AI4349">
            <v>4.1000000000000003E-3</v>
          </cell>
          <cell r="AJ4349">
            <v>6.5799999999999999E-3</v>
          </cell>
          <cell r="AK4349">
            <v>3.9300000000000003E-3</v>
          </cell>
          <cell r="AL4349">
            <v>1.3799999999999999E-3</v>
          </cell>
          <cell r="AM4349">
            <v>2.64E-3</v>
          </cell>
          <cell r="AN4349">
            <v>1.1860000000000001E-2</v>
          </cell>
          <cell r="AO4349">
            <v>1.504E-2</v>
          </cell>
          <cell r="AP4349">
            <v>6.4149999999999999E-2</v>
          </cell>
        </row>
        <row r="4350">
          <cell r="D4350" t="str">
            <v>新潟市</v>
          </cell>
          <cell r="E4350" t="str">
            <v>2020→2025</v>
          </cell>
          <cell r="F4350">
            <v>1.636E-2</v>
          </cell>
          <cell r="G4350">
            <v>1.0449999999999999E-2</v>
          </cell>
          <cell r="H4350">
            <v>3.3439999999999998E-2</v>
          </cell>
          <cell r="I4350">
            <v>-4.2100000000000002E-3</v>
          </cell>
          <cell r="J4350">
            <v>-5.8119999999999998E-2</v>
          </cell>
          <cell r="K4350">
            <v>2.4070000000000001E-2</v>
          </cell>
          <cell r="L4350">
            <v>3.5430000000000003E-2</v>
          </cell>
          <cell r="M4350">
            <v>1.524E-2</v>
          </cell>
          <cell r="N4350">
            <v>8.7299999999999999E-3</v>
          </cell>
          <cell r="O4350">
            <v>7.2000000000000005E-4</v>
          </cell>
          <cell r="P4350">
            <v>9.0900000000000009E-3</v>
          </cell>
          <cell r="Q4350">
            <v>2.2159999999999999E-2</v>
          </cell>
          <cell r="R4350">
            <v>6.8399999999999997E-3</v>
          </cell>
          <cell r="S4350">
            <v>3.2699999999999999E-3</v>
          </cell>
          <cell r="T4350">
            <v>6.2100000000000002E-3</v>
          </cell>
          <cell r="U4350">
            <v>1.74E-3</v>
          </cell>
          <cell r="V4350">
            <v>7.1199999999999996E-3</v>
          </cell>
          <cell r="W4350">
            <v>4.2459999999999998E-2</v>
          </cell>
          <cell r="Y4350">
            <v>2.0910000000000002E-2</v>
          </cell>
          <cell r="Z4350">
            <v>1.197E-2</v>
          </cell>
          <cell r="AA4350">
            <v>6.0359999999999997E-2</v>
          </cell>
          <cell r="AB4350">
            <v>4.6100000000000004E-3</v>
          </cell>
          <cell r="AC4350">
            <v>-4.861E-2</v>
          </cell>
          <cell r="AD4350">
            <v>9.2099999999999994E-3</v>
          </cell>
          <cell r="AE4350">
            <v>1.8069999999999999E-2</v>
          </cell>
          <cell r="AF4350">
            <v>1.2840000000000001E-2</v>
          </cell>
          <cell r="AG4350">
            <v>2.8900000000000002E-3</v>
          </cell>
          <cell r="AH4350">
            <v>-2.5000000000000001E-4</v>
          </cell>
          <cell r="AI4350">
            <v>3.9699999999999996E-3</v>
          </cell>
          <cell r="AJ4350">
            <v>6.7099999999999998E-3</v>
          </cell>
          <cell r="AK4350">
            <v>4.6299999999999996E-3</v>
          </cell>
          <cell r="AL4350">
            <v>9.2000000000000003E-4</v>
          </cell>
          <cell r="AM4350">
            <v>3.8500000000000001E-3</v>
          </cell>
          <cell r="AN4350">
            <v>1.0370000000000001E-2</v>
          </cell>
          <cell r="AO4350">
            <v>1.302E-2</v>
          </cell>
          <cell r="AP4350">
            <v>5.568E-2</v>
          </cell>
        </row>
        <row r="4351">
          <cell r="D4351" t="str">
            <v>新潟市</v>
          </cell>
          <cell r="E4351" t="str">
            <v>2025→2030</v>
          </cell>
          <cell r="F4351">
            <v>1.66E-2</v>
          </cell>
          <cell r="G4351">
            <v>1.018E-2</v>
          </cell>
          <cell r="H4351">
            <v>3.0540000000000001E-2</v>
          </cell>
          <cell r="I4351">
            <v>-1.2239999999999999E-2</v>
          </cell>
          <cell r="J4351">
            <v>-5.9909999999999998E-2</v>
          </cell>
          <cell r="K4351">
            <v>2.12E-2</v>
          </cell>
          <cell r="L4351">
            <v>3.4860000000000002E-2</v>
          </cell>
          <cell r="M4351">
            <v>1.473E-2</v>
          </cell>
          <cell r="N4351">
            <v>1.035E-2</v>
          </cell>
          <cell r="O4351">
            <v>-1.09E-3</v>
          </cell>
          <cell r="P4351">
            <v>8.0400000000000003E-3</v>
          </cell>
          <cell r="Q4351">
            <v>2.1999999999999999E-2</v>
          </cell>
          <cell r="R4351">
            <v>7.5500000000000003E-3</v>
          </cell>
          <cell r="S4351">
            <v>3.9100000000000003E-3</v>
          </cell>
          <cell r="T4351">
            <v>3.49E-3</v>
          </cell>
          <cell r="U4351">
            <v>6.1700000000000001E-3</v>
          </cell>
          <cell r="V4351">
            <v>4.0099999999999997E-3</v>
          </cell>
          <cell r="W4351">
            <v>3.3180000000000001E-2</v>
          </cell>
          <cell r="Y4351">
            <v>2.1139999999999999E-2</v>
          </cell>
          <cell r="Z4351">
            <v>1.1820000000000001E-2</v>
          </cell>
          <cell r="AA4351">
            <v>5.704E-2</v>
          </cell>
          <cell r="AB4351">
            <v>-4.5799999999999999E-3</v>
          </cell>
          <cell r="AC4351">
            <v>-4.9730000000000003E-2</v>
          </cell>
          <cell r="AD4351">
            <v>1.0749999999999999E-2</v>
          </cell>
          <cell r="AE4351">
            <v>1.6250000000000001E-2</v>
          </cell>
          <cell r="AF4351">
            <v>1.2239999999999999E-2</v>
          </cell>
          <cell r="AG4351">
            <v>3.8500000000000001E-3</v>
          </cell>
          <cell r="AH4351">
            <v>-3.2000000000000003E-4</v>
          </cell>
          <cell r="AI4351">
            <v>3.81E-3</v>
          </cell>
          <cell r="AJ4351">
            <v>6.7000000000000002E-3</v>
          </cell>
          <cell r="AK4351">
            <v>4.6800000000000001E-3</v>
          </cell>
          <cell r="AL4351">
            <v>1.4E-3</v>
          </cell>
          <cell r="AM4351">
            <v>2.4199999999999998E-3</v>
          </cell>
          <cell r="AN4351">
            <v>1.3180000000000001E-2</v>
          </cell>
          <cell r="AO4351">
            <v>1.057E-2</v>
          </cell>
          <cell r="AP4351">
            <v>4.453E-2</v>
          </cell>
        </row>
        <row r="4352">
          <cell r="D4352" t="str">
            <v>新潟市</v>
          </cell>
          <cell r="E4352" t="str">
            <v>2030→2035</v>
          </cell>
          <cell r="F4352">
            <v>1.6979999999999999E-2</v>
          </cell>
          <cell r="G4352">
            <v>1.013E-2</v>
          </cell>
          <cell r="H4352">
            <v>2.836E-2</v>
          </cell>
          <cell r="I4352">
            <v>-1.6119999999999999E-2</v>
          </cell>
          <cell r="J4352">
            <v>-6.1310000000000003E-2</v>
          </cell>
          <cell r="K4352">
            <v>1.8939999999999999E-2</v>
          </cell>
          <cell r="L4352">
            <v>3.0450000000000001E-2</v>
          </cell>
          <cell r="M4352">
            <v>1.3310000000000001E-2</v>
          </cell>
          <cell r="N4352">
            <v>9.9100000000000004E-3</v>
          </cell>
          <cell r="O4352">
            <v>3.0000000000000001E-5</v>
          </cell>
          <cell r="P4352">
            <v>8.8100000000000001E-3</v>
          </cell>
          <cell r="Q4352">
            <v>2.085E-2</v>
          </cell>
          <cell r="R4352">
            <v>7.4999999999999997E-3</v>
          </cell>
          <cell r="S4352">
            <v>4.2500000000000003E-3</v>
          </cell>
          <cell r="T4352">
            <v>4.4299999999999999E-3</v>
          </cell>
          <cell r="U4352">
            <v>8.7000000000000001E-4</v>
          </cell>
          <cell r="V4352">
            <v>1.1220000000000001E-2</v>
          </cell>
          <cell r="W4352">
            <v>2.9229999999999999E-2</v>
          </cell>
          <cell r="Y4352">
            <v>2.1520000000000001E-2</v>
          </cell>
          <cell r="Z4352">
            <v>1.175E-2</v>
          </cell>
          <cell r="AA4352">
            <v>5.5129999999999998E-2</v>
          </cell>
          <cell r="AB4352">
            <v>-8.0400000000000003E-3</v>
          </cell>
          <cell r="AC4352">
            <v>-5.2290000000000003E-2</v>
          </cell>
          <cell r="AD4352">
            <v>9.4400000000000005E-3</v>
          </cell>
          <cell r="AE4352">
            <v>1.485E-2</v>
          </cell>
          <cell r="AF4352">
            <v>1.073E-2</v>
          </cell>
          <cell r="AG4352">
            <v>3.3899999999999998E-3</v>
          </cell>
          <cell r="AH4352">
            <v>2.0000000000000001E-4</v>
          </cell>
          <cell r="AI4352">
            <v>4.3200000000000001E-3</v>
          </cell>
          <cell r="AJ4352">
            <v>6.5500000000000003E-3</v>
          </cell>
          <cell r="AK4352">
            <v>4.4900000000000001E-3</v>
          </cell>
          <cell r="AL4352">
            <v>1.3699999999999999E-3</v>
          </cell>
          <cell r="AM4352">
            <v>3.13E-3</v>
          </cell>
          <cell r="AN4352">
            <v>1.0070000000000001E-2</v>
          </cell>
          <cell r="AO4352">
            <v>1.5699999999999999E-2</v>
          </cell>
          <cell r="AP4352">
            <v>4.2130000000000001E-2</v>
          </cell>
        </row>
        <row r="4353">
          <cell r="D4353" t="str">
            <v>新潟市</v>
          </cell>
          <cell r="E4353" t="str">
            <v>2035→2040</v>
          </cell>
          <cell r="F4353">
            <v>1.7100000000000001E-2</v>
          </cell>
          <cell r="G4353">
            <v>1.01E-2</v>
          </cell>
          <cell r="H4353">
            <v>2.6440000000000002E-2</v>
          </cell>
          <cell r="I4353">
            <v>-1.891E-2</v>
          </cell>
          <cell r="J4353">
            <v>-6.1510000000000002E-2</v>
          </cell>
          <cell r="K4353">
            <v>1.6910000000000001E-2</v>
          </cell>
          <cell r="L4353">
            <v>2.8459999999999999E-2</v>
          </cell>
          <cell r="M4353">
            <v>1.2749999999999999E-2</v>
          </cell>
          <cell r="N4353">
            <v>8.7100000000000007E-3</v>
          </cell>
          <cell r="O4353">
            <v>-1.3999999999999999E-4</v>
          </cell>
          <cell r="P4353">
            <v>9.6399999999999993E-3</v>
          </cell>
          <cell r="Q4353">
            <v>2.1839999999999998E-2</v>
          </cell>
          <cell r="R4353">
            <v>6.6499999999999997E-3</v>
          </cell>
          <cell r="S4353">
            <v>4.3E-3</v>
          </cell>
          <cell r="T4353">
            <v>4.8799999999999998E-3</v>
          </cell>
          <cell r="U4353">
            <v>2.5699999999999998E-3</v>
          </cell>
          <cell r="V4353">
            <v>3.5899999999999999E-3</v>
          </cell>
          <cell r="W4353">
            <v>3.9730000000000001E-2</v>
          </cell>
          <cell r="Y4353">
            <v>2.1610000000000001E-2</v>
          </cell>
          <cell r="Z4353">
            <v>1.1690000000000001E-2</v>
          </cell>
          <cell r="AA4353">
            <v>5.2810000000000003E-2</v>
          </cell>
          <cell r="AB4353">
            <v>-1.034E-2</v>
          </cell>
          <cell r="AC4353">
            <v>-5.2580000000000002E-2</v>
          </cell>
          <cell r="AD4353">
            <v>6.9800000000000001E-3</v>
          </cell>
          <cell r="AE4353">
            <v>1.3769999999999999E-2</v>
          </cell>
          <cell r="AF4353">
            <v>1.1310000000000001E-2</v>
          </cell>
          <cell r="AG4353">
            <v>2.5000000000000001E-3</v>
          </cell>
          <cell r="AH4353">
            <v>-1.0000000000000001E-5</v>
          </cell>
          <cell r="AI4353">
            <v>4.4900000000000001E-3</v>
          </cell>
          <cell r="AJ4353">
            <v>7.0200000000000002E-3</v>
          </cell>
          <cell r="AK4353">
            <v>4.2100000000000002E-3</v>
          </cell>
          <cell r="AL4353">
            <v>1.4400000000000001E-3</v>
          </cell>
          <cell r="AM4353">
            <v>3.2799999999999999E-3</v>
          </cell>
          <cell r="AN4353">
            <v>1.153E-2</v>
          </cell>
          <cell r="AO4353">
            <v>1.0410000000000001E-2</v>
          </cell>
          <cell r="AP4353">
            <v>5.1970000000000002E-2</v>
          </cell>
        </row>
        <row r="4354">
          <cell r="D4354" t="str">
            <v>新潟市</v>
          </cell>
          <cell r="E4354" t="str">
            <v>2040→2045</v>
          </cell>
          <cell r="F4354">
            <v>1.7409999999999998E-2</v>
          </cell>
          <cell r="G4354">
            <v>9.9600000000000001E-3</v>
          </cell>
          <cell r="H4354">
            <v>2.4420000000000001E-2</v>
          </cell>
          <cell r="I4354">
            <v>-2.2200000000000001E-2</v>
          </cell>
          <cell r="J4354">
            <v>-6.1629999999999997E-2</v>
          </cell>
          <cell r="K4354">
            <v>1.653E-2</v>
          </cell>
          <cell r="L4354">
            <v>2.6950000000000002E-2</v>
          </cell>
          <cell r="M4354">
            <v>1.3950000000000001E-2</v>
          </cell>
          <cell r="N4354">
            <v>8.0599999999999995E-3</v>
          </cell>
          <cell r="O4354">
            <v>-7.2000000000000005E-4</v>
          </cell>
          <cell r="P4354">
            <v>9.5600000000000008E-3</v>
          </cell>
          <cell r="Q4354">
            <v>2.2239999999999999E-2</v>
          </cell>
          <cell r="R4354">
            <v>6.0699999999999999E-3</v>
          </cell>
          <cell r="S4354">
            <v>3.2799999999999999E-3</v>
          </cell>
          <cell r="T4354">
            <v>5.0400000000000002E-3</v>
          </cell>
          <cell r="U4354">
            <v>3.46E-3</v>
          </cell>
          <cell r="V4354">
            <v>6.3699999999999998E-3</v>
          </cell>
          <cell r="W4354">
            <v>1.44E-2</v>
          </cell>
          <cell r="Y4354">
            <v>2.1870000000000001E-2</v>
          </cell>
          <cell r="Z4354">
            <v>1.1509999999999999E-2</v>
          </cell>
          <cell r="AA4354">
            <v>5.0310000000000001E-2</v>
          </cell>
          <cell r="AB4354">
            <v>-1.37E-2</v>
          </cell>
          <cell r="AC4354">
            <v>-5.2609999999999997E-2</v>
          </cell>
          <cell r="AD4354">
            <v>7.1399999999999996E-3</v>
          </cell>
          <cell r="AE4354">
            <v>1.213E-2</v>
          </cell>
          <cell r="AF4354">
            <v>1.187E-2</v>
          </cell>
          <cell r="AG4354">
            <v>2.7599999999999999E-3</v>
          </cell>
          <cell r="AH4354">
            <v>-3.5E-4</v>
          </cell>
          <cell r="AI4354">
            <v>4.7400000000000003E-3</v>
          </cell>
          <cell r="AJ4354">
            <v>7.26E-3</v>
          </cell>
          <cell r="AK4354">
            <v>4.2399999999999998E-3</v>
          </cell>
          <cell r="AL4354">
            <v>8.9999999999999998E-4</v>
          </cell>
          <cell r="AM4354">
            <v>3.4399999999999999E-3</v>
          </cell>
          <cell r="AN4354">
            <v>1.1979999999999999E-2</v>
          </cell>
          <cell r="AO4354">
            <v>1.3010000000000001E-2</v>
          </cell>
          <cell r="AP4354">
            <v>2.6790000000000001E-2</v>
          </cell>
        </row>
        <row r="4355">
          <cell r="D4355" t="str">
            <v>長岡市</v>
          </cell>
          <cell r="E4355" t="str">
            <v>2015→2020</v>
          </cell>
          <cell r="F4355">
            <v>4.9899999999999996E-3</v>
          </cell>
          <cell r="G4355">
            <v>-5.1700000000000001E-3</v>
          </cell>
          <cell r="H4355">
            <v>-4.9730000000000003E-2</v>
          </cell>
          <cell r="I4355">
            <v>-2.9839999999999998E-2</v>
          </cell>
          <cell r="J4355">
            <v>-4.088E-2</v>
          </cell>
          <cell r="K4355">
            <v>3.056E-2</v>
          </cell>
          <cell r="L4355">
            <v>4.2599999999999999E-3</v>
          </cell>
          <cell r="M4355">
            <v>-1.3799999999999999E-3</v>
          </cell>
          <cell r="N4355">
            <v>-1.116E-2</v>
          </cell>
          <cell r="O4355">
            <v>2.47E-3</v>
          </cell>
          <cell r="P4355">
            <v>-1.1000000000000001E-3</v>
          </cell>
          <cell r="Q4355">
            <v>-3.62E-3</v>
          </cell>
          <cell r="R4355">
            <v>2.6700000000000001E-3</v>
          </cell>
          <cell r="S4355">
            <v>-6.7600000000000004E-3</v>
          </cell>
          <cell r="T4355">
            <v>3.6000000000000002E-4</v>
          </cell>
          <cell r="U4355">
            <v>1.1509999999999999E-2</v>
          </cell>
          <cell r="V4355">
            <v>8.5599999999999999E-3</v>
          </cell>
          <cell r="W4355">
            <v>3.329E-2</v>
          </cell>
          <cell r="Y4355">
            <v>1.3010000000000001E-2</v>
          </cell>
          <cell r="Z4355">
            <v>5.2599999999999999E-3</v>
          </cell>
          <cell r="AA4355">
            <v>-5.3510000000000002E-2</v>
          </cell>
          <cell r="AB4355">
            <v>-0.14874999999999999</v>
          </cell>
          <cell r="AC4355">
            <v>5.5730000000000002E-2</v>
          </cell>
          <cell r="AD4355">
            <v>1.813E-2</v>
          </cell>
          <cell r="AE4355">
            <v>-3.9300000000000003E-3</v>
          </cell>
          <cell r="AF4355">
            <v>-2.8E-3</v>
          </cell>
          <cell r="AG4355">
            <v>-2.0500000000000002E-3</v>
          </cell>
          <cell r="AH4355">
            <v>-5.5199999999999997E-3</v>
          </cell>
          <cell r="AI4355">
            <v>-6.0800000000000003E-3</v>
          </cell>
          <cell r="AJ4355">
            <v>-4.3899999999999998E-3</v>
          </cell>
          <cell r="AK4355">
            <v>-5.77E-3</v>
          </cell>
          <cell r="AL4355">
            <v>-1.9E-3</v>
          </cell>
          <cell r="AM4355">
            <v>-5.9699999999999996E-3</v>
          </cell>
          <cell r="AN4355">
            <v>-1.6000000000000001E-4</v>
          </cell>
          <cell r="AO4355">
            <v>-1.4400000000000001E-3</v>
          </cell>
          <cell r="AP4355">
            <v>4.1180000000000001E-2</v>
          </cell>
        </row>
        <row r="4356">
          <cell r="D4356" t="str">
            <v>長岡市</v>
          </cell>
          <cell r="E4356" t="str">
            <v>2020→2025</v>
          </cell>
          <cell r="F4356">
            <v>6.11E-3</v>
          </cell>
          <cell r="G4356">
            <v>-4.0200000000000001E-3</v>
          </cell>
          <cell r="H4356">
            <v>-5.1069999999999997E-2</v>
          </cell>
          <cell r="I4356">
            <v>-3.5770000000000003E-2</v>
          </cell>
          <cell r="J4356">
            <v>-4.1840000000000002E-2</v>
          </cell>
          <cell r="K4356">
            <v>3.2239999999999998E-2</v>
          </cell>
          <cell r="L4356">
            <v>6.3299999999999997E-3</v>
          </cell>
          <cell r="M4356">
            <v>2.2499999999999998E-3</v>
          </cell>
          <cell r="N4356">
            <v>-1.077E-2</v>
          </cell>
          <cell r="O4356">
            <v>2.7000000000000001E-3</v>
          </cell>
          <cell r="P4356">
            <v>-9.8999999999999999E-4</v>
          </cell>
          <cell r="Q4356">
            <v>-3.3500000000000001E-3</v>
          </cell>
          <cell r="R4356">
            <v>3.7599999999999999E-3</v>
          </cell>
          <cell r="S4356">
            <v>-8.4200000000000004E-3</v>
          </cell>
          <cell r="T4356">
            <v>3.5799999999999998E-3</v>
          </cell>
          <cell r="U4356">
            <v>9.1599999999999997E-3</v>
          </cell>
          <cell r="V4356">
            <v>6.2899999999999996E-3</v>
          </cell>
          <cell r="W4356">
            <v>2.6519999999999998E-2</v>
          </cell>
          <cell r="Y4356">
            <v>1.4319999999999999E-2</v>
          </cell>
          <cell r="Z4356">
            <v>6.0899999999999999E-3</v>
          </cell>
          <cell r="AA4356">
            <v>-5.4510000000000003E-2</v>
          </cell>
          <cell r="AB4356">
            <v>-0.14929000000000001</v>
          </cell>
          <cell r="AC4356">
            <v>5.1249999999999997E-2</v>
          </cell>
          <cell r="AD4356">
            <v>2.0029999999999999E-2</v>
          </cell>
          <cell r="AE4356">
            <v>-1.49E-3</v>
          </cell>
          <cell r="AF4356">
            <v>6.4999999999999997E-4</v>
          </cell>
          <cell r="AG4356">
            <v>-1.57E-3</v>
          </cell>
          <cell r="AH4356">
            <v>-5.3899999999999998E-3</v>
          </cell>
          <cell r="AI4356">
            <v>-6.0800000000000003E-3</v>
          </cell>
          <cell r="AJ4356">
            <v>-4.2700000000000004E-3</v>
          </cell>
          <cell r="AK4356">
            <v>-5.2100000000000002E-3</v>
          </cell>
          <cell r="AL4356">
            <v>-2.81E-3</v>
          </cell>
          <cell r="AM4356">
            <v>-4.3600000000000002E-3</v>
          </cell>
          <cell r="AN4356">
            <v>-1.24E-3</v>
          </cell>
          <cell r="AO4356">
            <v>-2.8900000000000002E-3</v>
          </cell>
          <cell r="AP4356">
            <v>3.4009999999999999E-2</v>
          </cell>
        </row>
        <row r="4357">
          <cell r="D4357" t="str">
            <v>長岡市</v>
          </cell>
          <cell r="E4357" t="str">
            <v>2025→2030</v>
          </cell>
          <cell r="F4357">
            <v>7.0400000000000003E-3</v>
          </cell>
          <cell r="G4357">
            <v>-3.81E-3</v>
          </cell>
          <cell r="H4357">
            <v>-5.1299999999999998E-2</v>
          </cell>
          <cell r="I4357">
            <v>-4.0739999999999998E-2</v>
          </cell>
          <cell r="J4357">
            <v>-4.5100000000000001E-2</v>
          </cell>
          <cell r="K4357">
            <v>2.8490000000000001E-2</v>
          </cell>
          <cell r="L4357">
            <v>6.2599999999999999E-3</v>
          </cell>
          <cell r="M4357">
            <v>3.8400000000000001E-3</v>
          </cell>
          <cell r="N4357">
            <v>-8.4600000000000005E-3</v>
          </cell>
          <cell r="O4357">
            <v>4.1599999999999996E-3</v>
          </cell>
          <cell r="P4357">
            <v>-1.2600000000000001E-3</v>
          </cell>
          <cell r="Q4357">
            <v>-3.0999999999999999E-3</v>
          </cell>
          <cell r="R4357">
            <v>3.9500000000000004E-3</v>
          </cell>
          <cell r="S4357">
            <v>-7.8799999999999999E-3</v>
          </cell>
          <cell r="T4357">
            <v>7.6000000000000004E-4</v>
          </cell>
          <cell r="U4357">
            <v>1.4800000000000001E-2</v>
          </cell>
          <cell r="V4357">
            <v>3.0000000000000001E-3</v>
          </cell>
          <cell r="W4357">
            <v>1.8700000000000001E-2</v>
          </cell>
          <cell r="Y4357">
            <v>1.5310000000000001E-2</v>
          </cell>
          <cell r="Z4357">
            <v>6.3200000000000001E-3</v>
          </cell>
          <cell r="AA4357">
            <v>-5.5E-2</v>
          </cell>
          <cell r="AB4357">
            <v>-0.15176000000000001</v>
          </cell>
          <cell r="AC4357">
            <v>4.8030000000000003E-2</v>
          </cell>
          <cell r="AD4357">
            <v>1.6060000000000001E-2</v>
          </cell>
          <cell r="AE4357">
            <v>-1.2600000000000001E-3</v>
          </cell>
          <cell r="AF4357">
            <v>1.5200000000000001E-3</v>
          </cell>
          <cell r="AG4357">
            <v>2.1000000000000001E-4</v>
          </cell>
          <cell r="AH4357">
            <v>-4.62E-3</v>
          </cell>
          <cell r="AI4357">
            <v>-5.9699999999999996E-3</v>
          </cell>
          <cell r="AJ4357">
            <v>-4.1999999999999997E-3</v>
          </cell>
          <cell r="AK4357">
            <v>-5.0299999999999997E-3</v>
          </cell>
          <cell r="AL4357">
            <v>-2.2000000000000001E-3</v>
          </cell>
          <cell r="AM4357">
            <v>-5.8599999999999998E-3</v>
          </cell>
          <cell r="AN4357">
            <v>1.9400000000000001E-3</v>
          </cell>
          <cell r="AO4357">
            <v>-5.0600000000000003E-3</v>
          </cell>
          <cell r="AP4357">
            <v>2.3779999999999999E-2</v>
          </cell>
        </row>
        <row r="4358">
          <cell r="D4358" t="str">
            <v>長岡市</v>
          </cell>
          <cell r="E4358" t="str">
            <v>2030→2035</v>
          </cell>
          <cell r="F4358">
            <v>7.3000000000000001E-3</v>
          </cell>
          <cell r="G4358">
            <v>-3.5400000000000002E-3</v>
          </cell>
          <cell r="H4358">
            <v>-5.1670000000000001E-2</v>
          </cell>
          <cell r="I4358">
            <v>-4.2200000000000001E-2</v>
          </cell>
          <cell r="J4358">
            <v>-4.5449999999999997E-2</v>
          </cell>
          <cell r="K4358">
            <v>2.52E-2</v>
          </cell>
          <cell r="L4358">
            <v>3.5999999999999999E-3</v>
          </cell>
          <cell r="M4358">
            <v>3.2599999999999999E-3</v>
          </cell>
          <cell r="N4358">
            <v>-7.1300000000000001E-3</v>
          </cell>
          <cell r="O4358">
            <v>5.3299999999999997E-3</v>
          </cell>
          <cell r="P4358">
            <v>1.0000000000000001E-5</v>
          </cell>
          <cell r="Q4358">
            <v>-3.3999999999999998E-3</v>
          </cell>
          <cell r="R4358">
            <v>4.2199999999999998E-3</v>
          </cell>
          <cell r="S4358">
            <v>-7.4599999999999996E-3</v>
          </cell>
          <cell r="T4358">
            <v>1.9E-3</v>
          </cell>
          <cell r="U4358">
            <v>1.0359999999999999E-2</v>
          </cell>
          <cell r="V4358">
            <v>1.0749999999999999E-2</v>
          </cell>
          <cell r="W4358">
            <v>1.532E-2</v>
          </cell>
          <cell r="Y4358">
            <v>1.5570000000000001E-2</v>
          </cell>
          <cell r="Z4358">
            <v>6.62E-3</v>
          </cell>
          <cell r="AA4358">
            <v>-5.5370000000000003E-2</v>
          </cell>
          <cell r="AB4358">
            <v>-0.15318000000000001</v>
          </cell>
          <cell r="AC4358">
            <v>4.7530000000000003E-2</v>
          </cell>
          <cell r="AD4358">
            <v>1.3440000000000001E-2</v>
          </cell>
          <cell r="AE4358">
            <v>-3.65E-3</v>
          </cell>
          <cell r="AF4358">
            <v>1.33E-3</v>
          </cell>
          <cell r="AG4358">
            <v>1.0499999999999999E-3</v>
          </cell>
          <cell r="AH4358">
            <v>-4.5100000000000001E-3</v>
          </cell>
          <cell r="AI4358">
            <v>-5.6100000000000004E-3</v>
          </cell>
          <cell r="AJ4358">
            <v>-4.13E-3</v>
          </cell>
          <cell r="AK4358">
            <v>-5.0499999999999998E-3</v>
          </cell>
          <cell r="AL4358">
            <v>-1.7099999999999999E-3</v>
          </cell>
          <cell r="AM4358">
            <v>-5.2100000000000002E-3</v>
          </cell>
          <cell r="AN4358">
            <v>-4.6999999999999999E-4</v>
          </cell>
          <cell r="AO4358">
            <v>6.0999999999999997E-4</v>
          </cell>
          <cell r="AP4358">
            <v>2.1049999999999999E-2</v>
          </cell>
        </row>
        <row r="4359">
          <cell r="D4359" t="str">
            <v>長岡市</v>
          </cell>
          <cell r="E4359" t="str">
            <v>2035→2040</v>
          </cell>
          <cell r="F4359">
            <v>7.4000000000000003E-3</v>
          </cell>
          <cell r="G4359">
            <v>-3.5699999999999998E-3</v>
          </cell>
          <cell r="H4359">
            <v>-5.2109999999999997E-2</v>
          </cell>
          <cell r="I4359">
            <v>-4.4060000000000002E-2</v>
          </cell>
          <cell r="J4359">
            <v>-4.4299999999999999E-2</v>
          </cell>
          <cell r="K4359">
            <v>2.3980000000000001E-2</v>
          </cell>
          <cell r="L4359">
            <v>1.34E-3</v>
          </cell>
          <cell r="M4359">
            <v>1.4E-3</v>
          </cell>
          <cell r="N4359">
            <v>-7.8499999999999993E-3</v>
          </cell>
          <cell r="O4359">
            <v>5.8599999999999998E-3</v>
          </cell>
          <cell r="P4359">
            <v>9.0000000000000006E-5</v>
          </cell>
          <cell r="Q4359">
            <v>-2.7499999999999998E-3</v>
          </cell>
          <cell r="R4359">
            <v>3.5999999999999999E-3</v>
          </cell>
          <cell r="S4359">
            <v>-7.26E-3</v>
          </cell>
          <cell r="T4359">
            <v>1.9300000000000001E-3</v>
          </cell>
          <cell r="U4359">
            <v>1.1979999999999999E-2</v>
          </cell>
          <cell r="V4359">
            <v>4.64E-3</v>
          </cell>
          <cell r="W4359">
            <v>2.512E-2</v>
          </cell>
          <cell r="Y4359">
            <v>1.5640000000000001E-2</v>
          </cell>
          <cell r="Z4359">
            <v>6.5599999999999999E-3</v>
          </cell>
          <cell r="AA4359">
            <v>-5.5930000000000001E-2</v>
          </cell>
          <cell r="AB4359">
            <v>-0.15423000000000001</v>
          </cell>
          <cell r="AC4359">
            <v>4.7579999999999997E-2</v>
          </cell>
          <cell r="AD4359">
            <v>1.281E-2</v>
          </cell>
          <cell r="AE4359">
            <v>-5.2700000000000004E-3</v>
          </cell>
          <cell r="AF4359">
            <v>-2.7E-4</v>
          </cell>
          <cell r="AG4359">
            <v>8.1999999999999998E-4</v>
          </cell>
          <cell r="AH4359">
            <v>-4.2199999999999998E-3</v>
          </cell>
          <cell r="AI4359">
            <v>-5.5500000000000002E-3</v>
          </cell>
          <cell r="AJ4359">
            <v>-3.8400000000000001E-3</v>
          </cell>
          <cell r="AK4359">
            <v>-5.1700000000000001E-3</v>
          </cell>
          <cell r="AL4359">
            <v>-1.8500000000000001E-3</v>
          </cell>
          <cell r="AM4359">
            <v>-5.2199999999999998E-3</v>
          </cell>
          <cell r="AN4359">
            <v>1.4999999999999999E-4</v>
          </cell>
          <cell r="AO4359">
            <v>-3.9899999999999996E-3</v>
          </cell>
          <cell r="AP4359">
            <v>3.1530000000000002E-2</v>
          </cell>
        </row>
        <row r="4360">
          <cell r="D4360" t="str">
            <v>長岡市</v>
          </cell>
          <cell r="E4360" t="str">
            <v>2040→2045</v>
          </cell>
          <cell r="F4360">
            <v>7.2300000000000003E-3</v>
          </cell>
          <cell r="G4360">
            <v>-3.6700000000000001E-3</v>
          </cell>
          <cell r="H4360">
            <v>-5.3190000000000001E-2</v>
          </cell>
          <cell r="I4360">
            <v>-4.666E-2</v>
          </cell>
          <cell r="J4360">
            <v>-4.3999999999999997E-2</v>
          </cell>
          <cell r="K4360">
            <v>2.4590000000000001E-2</v>
          </cell>
          <cell r="L4360">
            <v>5.9000000000000003E-4</v>
          </cell>
          <cell r="M4360">
            <v>-2.9999999999999997E-4</v>
          </cell>
          <cell r="N4360">
            <v>-8.4700000000000001E-3</v>
          </cell>
          <cell r="O4360">
            <v>5.7499999999999999E-3</v>
          </cell>
          <cell r="P4360">
            <v>4.4000000000000002E-4</v>
          </cell>
          <cell r="Q4360">
            <v>-2.5999999999999999E-3</v>
          </cell>
          <cell r="R4360">
            <v>4.1700000000000001E-3</v>
          </cell>
          <cell r="S4360">
            <v>-7.9500000000000005E-3</v>
          </cell>
          <cell r="T4360">
            <v>2.1299999999999999E-3</v>
          </cell>
          <cell r="U4360">
            <v>1.1769999999999999E-2</v>
          </cell>
          <cell r="V4360">
            <v>6.6899999999999998E-3</v>
          </cell>
          <cell r="W4360">
            <v>3.98E-3</v>
          </cell>
          <cell r="Y4360">
            <v>1.541E-2</v>
          </cell>
          <cell r="Z4360">
            <v>6.4200000000000004E-3</v>
          </cell>
          <cell r="AA4360">
            <v>-5.7110000000000001E-2</v>
          </cell>
          <cell r="AB4360">
            <v>-0.15592</v>
          </cell>
          <cell r="AC4360">
            <v>4.7809999999999998E-2</v>
          </cell>
          <cell r="AD4360">
            <v>1.3350000000000001E-2</v>
          </cell>
          <cell r="AE4360">
            <v>-5.5999999999999999E-3</v>
          </cell>
          <cell r="AF4360">
            <v>-1.2899999999999999E-3</v>
          </cell>
          <cell r="AG4360">
            <v>-2.5999999999999998E-4</v>
          </cell>
          <cell r="AH4360">
            <v>-4.1999999999999997E-3</v>
          </cell>
          <cell r="AI4360">
            <v>-5.3400000000000001E-3</v>
          </cell>
          <cell r="AJ4360">
            <v>-3.7499999999999999E-3</v>
          </cell>
          <cell r="AK4360">
            <v>-4.9699999999999996E-3</v>
          </cell>
          <cell r="AL4360">
            <v>-2.0899999999999998E-3</v>
          </cell>
          <cell r="AM4360">
            <v>-5.1599999999999997E-3</v>
          </cell>
          <cell r="AN4360">
            <v>2.0000000000000001E-4</v>
          </cell>
          <cell r="AO4360">
            <v>-2.6700000000000001E-3</v>
          </cell>
          <cell r="AP4360">
            <v>9.0100000000000006E-3</v>
          </cell>
        </row>
        <row r="4361">
          <cell r="D4361" t="str">
            <v>三条市</v>
          </cell>
          <cell r="E4361" t="str">
            <v>2015→2020</v>
          </cell>
          <cell r="F4361">
            <v>2.555E-2</v>
          </cell>
          <cell r="G4361">
            <v>2.9659999999999999E-2</v>
          </cell>
          <cell r="H4361">
            <v>-6.9070000000000006E-2</v>
          </cell>
          <cell r="I4361">
            <v>-0.21115</v>
          </cell>
          <cell r="J4361">
            <v>0.12111</v>
          </cell>
          <cell r="K4361">
            <v>2.5899999999999999E-2</v>
          </cell>
          <cell r="L4361">
            <v>5.7999999999999996E-3</v>
          </cell>
          <cell r="M4361">
            <v>8.4799999999999997E-3</v>
          </cell>
          <cell r="N4361">
            <v>3.041E-2</v>
          </cell>
          <cell r="O4361">
            <v>-3.4399999999999999E-3</v>
          </cell>
          <cell r="P4361">
            <v>1.4250000000000001E-2</v>
          </cell>
          <cell r="Q4361">
            <v>9.5E-4</v>
          </cell>
          <cell r="R4361">
            <v>2.7399999999999998E-3</v>
          </cell>
          <cell r="S4361">
            <v>1.2E-4</v>
          </cell>
          <cell r="T4361">
            <v>-5.3200000000000001E-3</v>
          </cell>
          <cell r="U4361">
            <v>3.1900000000000001E-3</v>
          </cell>
          <cell r="V4361">
            <v>-2.8469999999999999E-2</v>
          </cell>
          <cell r="W4361">
            <v>3.3480000000000003E-2</v>
          </cell>
          <cell r="Y4361">
            <v>3.5799999999999998E-2</v>
          </cell>
          <cell r="Z4361">
            <v>-5.96E-3</v>
          </cell>
          <cell r="AA4361">
            <v>-5.6950000000000001E-2</v>
          </cell>
          <cell r="AB4361">
            <v>-0.21789</v>
          </cell>
          <cell r="AC4361">
            <v>2.164E-2</v>
          </cell>
          <cell r="AD4361">
            <v>2.521E-2</v>
          </cell>
          <cell r="AE4361">
            <v>1.1480000000000001E-2</v>
          </cell>
          <cell r="AF4361">
            <v>1.333E-2</v>
          </cell>
          <cell r="AG4361">
            <v>-5.77E-3</v>
          </cell>
          <cell r="AH4361">
            <v>-5.94E-3</v>
          </cell>
          <cell r="AI4361">
            <v>8.5999999999999998E-4</v>
          </cell>
          <cell r="AJ4361">
            <v>-1.01E-3</v>
          </cell>
          <cell r="AK4361">
            <v>-9.2499999999999995E-3</v>
          </cell>
          <cell r="AL4361">
            <v>-1.33E-3</v>
          </cell>
          <cell r="AM4361">
            <v>-9.3900000000000008E-3</v>
          </cell>
          <cell r="AN4361">
            <v>-4.9100000000000003E-3</v>
          </cell>
          <cell r="AO4361">
            <v>-2.7660000000000001E-2</v>
          </cell>
          <cell r="AP4361">
            <v>2.0740000000000001E-2</v>
          </cell>
        </row>
        <row r="4362">
          <cell r="D4362" t="str">
            <v>三条市</v>
          </cell>
          <cell r="E4362" t="str">
            <v>2020→2025</v>
          </cell>
          <cell r="F4362">
            <v>2.7459999999999998E-2</v>
          </cell>
          <cell r="G4362">
            <v>3.073E-2</v>
          </cell>
          <cell r="H4362">
            <v>-6.9760000000000003E-2</v>
          </cell>
          <cell r="I4362">
            <v>-0.21268000000000001</v>
          </cell>
          <cell r="J4362">
            <v>0.11616</v>
          </cell>
          <cell r="K4362">
            <v>3.2969999999999999E-2</v>
          </cell>
          <cell r="L4362">
            <v>7.9000000000000008E-3</v>
          </cell>
          <cell r="M4362">
            <v>1.325E-2</v>
          </cell>
          <cell r="N4362">
            <v>3.1300000000000001E-2</v>
          </cell>
          <cell r="O4362">
            <v>-3.2100000000000002E-3</v>
          </cell>
          <cell r="P4362">
            <v>1.4120000000000001E-2</v>
          </cell>
          <cell r="Q4362">
            <v>9.7999999999999997E-4</v>
          </cell>
          <cell r="R4362">
            <v>3.7299999999999998E-3</v>
          </cell>
          <cell r="S4362">
            <v>-1.5499999999999999E-3</v>
          </cell>
          <cell r="T4362">
            <v>-2.48E-3</v>
          </cell>
          <cell r="U4362">
            <v>8.1999999999999998E-4</v>
          </cell>
          <cell r="V4362">
            <v>-3.0429999999999999E-2</v>
          </cell>
          <cell r="W4362">
            <v>2.6069999999999999E-2</v>
          </cell>
          <cell r="Y4362">
            <v>3.7260000000000001E-2</v>
          </cell>
          <cell r="Z4362">
            <v>-5.1999999999999998E-3</v>
          </cell>
          <cell r="AA4362">
            <v>-5.7529999999999998E-2</v>
          </cell>
          <cell r="AB4362">
            <v>-0.21898999999999999</v>
          </cell>
          <cell r="AC4362">
            <v>1.651E-2</v>
          </cell>
          <cell r="AD4362">
            <v>2.6839999999999999E-2</v>
          </cell>
          <cell r="AE4362">
            <v>1.435E-2</v>
          </cell>
          <cell r="AF4362">
            <v>1.7819999999999999E-2</v>
          </cell>
          <cell r="AG4362">
            <v>-4.4900000000000001E-3</v>
          </cell>
          <cell r="AH4362">
            <v>-5.8399999999999997E-3</v>
          </cell>
          <cell r="AI4362">
            <v>7.9000000000000001E-4</v>
          </cell>
          <cell r="AJ4362">
            <v>-9.8999999999999999E-4</v>
          </cell>
          <cell r="AK4362">
            <v>-8.9300000000000004E-3</v>
          </cell>
          <cell r="AL4362">
            <v>-2.1800000000000001E-3</v>
          </cell>
          <cell r="AM4362">
            <v>-7.9000000000000008E-3</v>
          </cell>
          <cell r="AN4362">
            <v>-5.8799999999999998E-3</v>
          </cell>
          <cell r="AO4362">
            <v>-2.8809999999999999E-2</v>
          </cell>
          <cell r="AP4362">
            <v>1.388E-2</v>
          </cell>
        </row>
        <row r="4363">
          <cell r="D4363" t="str">
            <v>三条市</v>
          </cell>
          <cell r="E4363" t="str">
            <v>2025→2030</v>
          </cell>
          <cell r="F4363">
            <v>2.8490000000000001E-2</v>
          </cell>
          <cell r="G4363">
            <v>3.1050000000000001E-2</v>
          </cell>
          <cell r="H4363">
            <v>-6.9970000000000004E-2</v>
          </cell>
          <cell r="I4363">
            <v>-0.21371000000000001</v>
          </cell>
          <cell r="J4363">
            <v>0.11033999999999999</v>
          </cell>
          <cell r="K4363">
            <v>2.8500000000000001E-2</v>
          </cell>
          <cell r="L4363">
            <v>7.7999999999999996E-3</v>
          </cell>
          <cell r="M4363">
            <v>1.128E-2</v>
          </cell>
          <cell r="N4363">
            <v>3.5099999999999999E-2</v>
          </cell>
          <cell r="O4363">
            <v>-1.5399999999999999E-3</v>
          </cell>
          <cell r="P4363">
            <v>1.3950000000000001E-2</v>
          </cell>
          <cell r="Q4363">
            <v>1.1199999999999999E-3</v>
          </cell>
          <cell r="R4363">
            <v>3.8600000000000001E-3</v>
          </cell>
          <cell r="S4363">
            <v>-8.0999999999999996E-4</v>
          </cell>
          <cell r="T4363">
            <v>-5.0000000000000001E-3</v>
          </cell>
          <cell r="U4363">
            <v>6.1999999999999998E-3</v>
          </cell>
          <cell r="V4363">
            <v>-3.279E-2</v>
          </cell>
          <cell r="W4363">
            <v>1.7860000000000001E-2</v>
          </cell>
          <cell r="Y4363">
            <v>3.8379999999999997E-2</v>
          </cell>
          <cell r="Z4363">
            <v>-5.0600000000000003E-3</v>
          </cell>
          <cell r="AA4363">
            <v>-5.7770000000000002E-2</v>
          </cell>
          <cell r="AB4363">
            <v>-0.21997</v>
          </cell>
          <cell r="AC4363">
            <v>1.256E-2</v>
          </cell>
          <cell r="AD4363">
            <v>2.155E-2</v>
          </cell>
          <cell r="AE4363">
            <v>1.434E-2</v>
          </cell>
          <cell r="AF4363">
            <v>1.89E-2</v>
          </cell>
          <cell r="AG4363">
            <v>-3.29E-3</v>
          </cell>
          <cell r="AH4363">
            <v>-5.13E-3</v>
          </cell>
          <cell r="AI4363">
            <v>9.1E-4</v>
          </cell>
          <cell r="AJ4363">
            <v>-9.7000000000000005E-4</v>
          </cell>
          <cell r="AK4363">
            <v>-8.8199999999999997E-3</v>
          </cell>
          <cell r="AL4363">
            <v>-1.5499999999999999E-3</v>
          </cell>
          <cell r="AM4363">
            <v>-9.2300000000000004E-3</v>
          </cell>
          <cell r="AN4363">
            <v>-2.8800000000000002E-3</v>
          </cell>
          <cell r="AO4363">
            <v>-3.032E-2</v>
          </cell>
          <cell r="AP4363">
            <v>4.1000000000000003E-3</v>
          </cell>
        </row>
        <row r="4364">
          <cell r="D4364" t="str">
            <v>三条市</v>
          </cell>
          <cell r="E4364" t="str">
            <v>2030→2035</v>
          </cell>
          <cell r="F4364">
            <v>2.8570000000000002E-2</v>
          </cell>
          <cell r="G4364">
            <v>3.1390000000000001E-2</v>
          </cell>
          <cell r="H4364">
            <v>-7.0169999999999996E-2</v>
          </cell>
          <cell r="I4364">
            <v>-0.21415000000000001</v>
          </cell>
          <cell r="J4364">
            <v>0.10962</v>
          </cell>
          <cell r="K4364">
            <v>2.3900000000000001E-2</v>
          </cell>
          <cell r="L4364">
            <v>4.2900000000000004E-3</v>
          </cell>
          <cell r="M4364">
            <v>1.272E-2</v>
          </cell>
          <cell r="N4364">
            <v>3.3259999999999998E-2</v>
          </cell>
          <cell r="O4364">
            <v>-1.56E-3</v>
          </cell>
          <cell r="P4364">
            <v>1.533E-2</v>
          </cell>
          <cell r="Q4364">
            <v>8.4000000000000003E-4</v>
          </cell>
          <cell r="R4364">
            <v>4.0299999999999997E-3</v>
          </cell>
          <cell r="S4364">
            <v>-4.0000000000000003E-5</v>
          </cell>
          <cell r="T4364">
            <v>-4.28E-3</v>
          </cell>
          <cell r="U4364">
            <v>2.2000000000000001E-3</v>
          </cell>
          <cell r="V4364">
            <v>-2.6710000000000001E-2</v>
          </cell>
          <cell r="W4364">
            <v>1.4160000000000001E-2</v>
          </cell>
          <cell r="Y4364">
            <v>3.8449999999999998E-2</v>
          </cell>
          <cell r="Z4364">
            <v>-4.8399999999999997E-3</v>
          </cell>
          <cell r="AA4364">
            <v>-5.8009999999999999E-2</v>
          </cell>
          <cell r="AB4364">
            <v>-0.22047</v>
          </cell>
          <cell r="AC4364">
            <v>1.1299999999999999E-2</v>
          </cell>
          <cell r="AD4364">
            <v>1.7729999999999999E-2</v>
          </cell>
          <cell r="AE4364">
            <v>1.099E-2</v>
          </cell>
          <cell r="AF4364">
            <v>1.848E-2</v>
          </cell>
          <cell r="AG4364">
            <v>-2.8999999999999998E-3</v>
          </cell>
          <cell r="AH4364">
            <v>-5.0899999999999999E-3</v>
          </cell>
          <cell r="AI4364">
            <v>1.4400000000000001E-3</v>
          </cell>
          <cell r="AJ4364">
            <v>-8.8999999999999995E-4</v>
          </cell>
          <cell r="AK4364">
            <v>-8.8000000000000005E-3</v>
          </cell>
          <cell r="AL4364">
            <v>-1.56E-3</v>
          </cell>
          <cell r="AM4364">
            <v>-8.8800000000000007E-3</v>
          </cell>
          <cell r="AN4364">
            <v>-5.47E-3</v>
          </cell>
          <cell r="AO4364">
            <v>-2.547E-2</v>
          </cell>
          <cell r="AP4364">
            <v>1.5299999999999999E-3</v>
          </cell>
        </row>
        <row r="4365">
          <cell r="D4365" t="str">
            <v>三条市</v>
          </cell>
          <cell r="E4365" t="str">
            <v>2035→2040</v>
          </cell>
          <cell r="F4365">
            <v>2.844E-2</v>
          </cell>
          <cell r="G4365">
            <v>3.1220000000000001E-2</v>
          </cell>
          <cell r="H4365">
            <v>-7.0440000000000003E-2</v>
          </cell>
          <cell r="I4365">
            <v>-0.21454000000000001</v>
          </cell>
          <cell r="J4365">
            <v>0.11017</v>
          </cell>
          <cell r="K4365">
            <v>2.247E-2</v>
          </cell>
          <cell r="L4365">
            <v>1.24E-3</v>
          </cell>
          <cell r="M4365">
            <v>1.1169999999999999E-2</v>
          </cell>
          <cell r="N4365">
            <v>3.4459999999999998E-2</v>
          </cell>
          <cell r="O4365">
            <v>-1.2199999999999999E-3</v>
          </cell>
          <cell r="P4365">
            <v>1.529E-2</v>
          </cell>
          <cell r="Q4365">
            <v>1.65E-3</v>
          </cell>
          <cell r="R4365">
            <v>3.46E-3</v>
          </cell>
          <cell r="S4365">
            <v>8.0000000000000007E-5</v>
          </cell>
          <cell r="T4365">
            <v>-4.1999999999999997E-3</v>
          </cell>
          <cell r="U4365">
            <v>3.3500000000000001E-3</v>
          </cell>
          <cell r="V4365">
            <v>-3.381E-2</v>
          </cell>
          <cell r="W4365">
            <v>2.4340000000000001E-2</v>
          </cell>
          <cell r="Y4365">
            <v>3.8260000000000002E-2</v>
          </cell>
          <cell r="Z4365">
            <v>-4.9800000000000001E-3</v>
          </cell>
          <cell r="AA4365">
            <v>-5.8319999999999997E-2</v>
          </cell>
          <cell r="AB4365">
            <v>-0.22092000000000001</v>
          </cell>
          <cell r="AC4365">
            <v>1.108E-2</v>
          </cell>
          <cell r="AD4365">
            <v>1.6369999999999999E-2</v>
          </cell>
          <cell r="AE4365">
            <v>8.5299999999999994E-3</v>
          </cell>
          <cell r="AF4365">
            <v>1.6109999999999999E-2</v>
          </cell>
          <cell r="AG4365">
            <v>-3.2200000000000002E-3</v>
          </cell>
          <cell r="AH4365">
            <v>-4.8599999999999997E-3</v>
          </cell>
          <cell r="AI4365">
            <v>1.47E-3</v>
          </cell>
          <cell r="AJ4365">
            <v>-4.8000000000000001E-4</v>
          </cell>
          <cell r="AK4365">
            <v>-8.9499999999999996E-3</v>
          </cell>
          <cell r="AL4365">
            <v>-1.7899999999999999E-3</v>
          </cell>
          <cell r="AM4365">
            <v>-8.7899999999999992E-3</v>
          </cell>
          <cell r="AN4365">
            <v>-4.8199999999999996E-3</v>
          </cell>
          <cell r="AO4365">
            <v>-3.066E-2</v>
          </cell>
          <cell r="AP4365">
            <v>1.145E-2</v>
          </cell>
        </row>
        <row r="4366">
          <cell r="D4366" t="str">
            <v>三条市</v>
          </cell>
          <cell r="E4366" t="str">
            <v>2040→2045</v>
          </cell>
          <cell r="F4366">
            <v>2.794E-2</v>
          </cell>
          <cell r="G4366">
            <v>3.0939999999999999E-2</v>
          </cell>
          <cell r="H4366">
            <v>-7.1050000000000002E-2</v>
          </cell>
          <cell r="I4366">
            <v>-0.21512000000000001</v>
          </cell>
          <cell r="J4366">
            <v>0.11037</v>
          </cell>
          <cell r="K4366">
            <v>2.2519999999999998E-2</v>
          </cell>
          <cell r="L4366">
            <v>3.6000000000000002E-4</v>
          </cell>
          <cell r="M4366">
            <v>8.94E-3</v>
          </cell>
          <cell r="N4366">
            <v>3.2469999999999999E-2</v>
          </cell>
          <cell r="O4366">
            <v>-1.2899999999999999E-3</v>
          </cell>
          <cell r="P4366">
            <v>1.5640000000000001E-2</v>
          </cell>
          <cell r="Q4366">
            <v>1.73E-3</v>
          </cell>
          <cell r="R4366">
            <v>3.9899999999999996E-3</v>
          </cell>
          <cell r="S4366">
            <v>-6.3000000000000003E-4</v>
          </cell>
          <cell r="T4366">
            <v>-3.9500000000000004E-3</v>
          </cell>
          <cell r="U4366">
            <v>3.0999999999999999E-3</v>
          </cell>
          <cell r="V4366">
            <v>-3.1469999999999998E-2</v>
          </cell>
          <cell r="W4366">
            <v>2.5300000000000001E-3</v>
          </cell>
          <cell r="Y4366">
            <v>3.7659999999999999E-2</v>
          </cell>
          <cell r="Z4366">
            <v>-5.1999999999999998E-3</v>
          </cell>
          <cell r="AA4366">
            <v>-5.8950000000000002E-2</v>
          </cell>
          <cell r="AB4366">
            <v>-0.22155</v>
          </cell>
          <cell r="AC4366">
            <v>1.082E-2</v>
          </cell>
          <cell r="AD4366">
            <v>1.6729999999999998E-2</v>
          </cell>
          <cell r="AE4366">
            <v>7.7600000000000004E-3</v>
          </cell>
          <cell r="AF4366">
            <v>1.447E-2</v>
          </cell>
          <cell r="AG4366">
            <v>-4.4600000000000004E-3</v>
          </cell>
          <cell r="AH4366">
            <v>-4.8900000000000002E-3</v>
          </cell>
          <cell r="AI4366">
            <v>1.75E-3</v>
          </cell>
          <cell r="AJ4366">
            <v>-4.0000000000000002E-4</v>
          </cell>
          <cell r="AK4366">
            <v>-8.8900000000000003E-3</v>
          </cell>
          <cell r="AL4366">
            <v>-2.0200000000000001E-3</v>
          </cell>
          <cell r="AM4366">
            <v>-8.6800000000000002E-3</v>
          </cell>
          <cell r="AN4366">
            <v>-4.6699999999999997E-3</v>
          </cell>
          <cell r="AO4366">
            <v>-2.913E-2</v>
          </cell>
          <cell r="AP4366">
            <v>-1.018E-2</v>
          </cell>
        </row>
        <row r="4367">
          <cell r="D4367" t="str">
            <v>柏崎市</v>
          </cell>
          <cell r="E4367" t="str">
            <v>2015→2020</v>
          </cell>
          <cell r="F4367">
            <v>-8.6199999999999992E-3</v>
          </cell>
          <cell r="G4367">
            <v>3.4499999999999999E-3</v>
          </cell>
          <cell r="H4367">
            <v>-9.017E-2</v>
          </cell>
          <cell r="I4367">
            <v>-0.20122000000000001</v>
          </cell>
          <cell r="J4367">
            <v>1.2659999999999999E-2</v>
          </cell>
          <cell r="K4367">
            <v>-5.0720000000000001E-2</v>
          </cell>
          <cell r="L4367">
            <v>-2.8070000000000001E-2</v>
          </cell>
          <cell r="M4367">
            <v>-1.439E-2</v>
          </cell>
          <cell r="N4367">
            <v>-2.5300000000000001E-3</v>
          </cell>
          <cell r="O4367">
            <v>9.6000000000000002E-4</v>
          </cell>
          <cell r="P4367">
            <v>-1.447E-2</v>
          </cell>
          <cell r="Q4367">
            <v>-1.3899999999999999E-2</v>
          </cell>
          <cell r="R4367">
            <v>-6.1000000000000004E-3</v>
          </cell>
          <cell r="S4367">
            <v>-8.5000000000000006E-3</v>
          </cell>
          <cell r="T4367">
            <v>-2.2000000000000001E-4</v>
          </cell>
          <cell r="U4367">
            <v>5.3099999999999996E-3</v>
          </cell>
          <cell r="V4367">
            <v>-5.62E-3</v>
          </cell>
          <cell r="W4367">
            <v>3.5970000000000002E-2</v>
          </cell>
          <cell r="Y4367">
            <v>-2.5340000000000001E-2</v>
          </cell>
          <cell r="Z4367">
            <v>1.281E-2</v>
          </cell>
          <cell r="AA4367">
            <v>-0.14471999999999999</v>
          </cell>
          <cell r="AB4367">
            <v>-0.27167000000000002</v>
          </cell>
          <cell r="AC4367">
            <v>9.8519999999999996E-2</v>
          </cell>
          <cell r="AD4367">
            <v>-2.477E-2</v>
          </cell>
          <cell r="AE4367">
            <v>-3.15E-3</v>
          </cell>
          <cell r="AF4367">
            <v>-4.0200000000000001E-3</v>
          </cell>
          <cell r="AG4367">
            <v>-6.2899999999999996E-3</v>
          </cell>
          <cell r="AH4367">
            <v>3.5E-4</v>
          </cell>
          <cell r="AI4367">
            <v>-8.4999999999999995E-4</v>
          </cell>
          <cell r="AJ4367">
            <v>-3.3300000000000001E-3</v>
          </cell>
          <cell r="AK4367">
            <v>-2.31E-3</v>
          </cell>
          <cell r="AL4367">
            <v>-1.0300000000000001E-3</v>
          </cell>
          <cell r="AM4367">
            <v>-3.8800000000000002E-3</v>
          </cell>
          <cell r="AN4367">
            <v>-3.1460000000000002E-2</v>
          </cell>
          <cell r="AO4367">
            <v>-1.8759999999999999E-2</v>
          </cell>
          <cell r="AP4367">
            <v>2.2460000000000001E-2</v>
          </cell>
        </row>
        <row r="4368">
          <cell r="D4368" t="str">
            <v>柏崎市</v>
          </cell>
          <cell r="E4368" t="str">
            <v>2020→2025</v>
          </cell>
          <cell r="F4368">
            <v>-8.6599999999999993E-3</v>
          </cell>
          <cell r="G4368">
            <v>3.5200000000000001E-3</v>
          </cell>
          <cell r="H4368">
            <v>-9.3850000000000003E-2</v>
          </cell>
          <cell r="I4368">
            <v>-0.20918</v>
          </cell>
          <cell r="J4368">
            <v>1.4599999999999999E-3</v>
          </cell>
          <cell r="K4368">
            <v>-5.1979999999999998E-2</v>
          </cell>
          <cell r="L4368">
            <v>-2.6839999999999999E-2</v>
          </cell>
          <cell r="M4368">
            <v>-1.1520000000000001E-2</v>
          </cell>
          <cell r="N4368">
            <v>2.8400000000000001E-3</v>
          </cell>
          <cell r="O4368">
            <v>7.6999999999999996E-4</v>
          </cell>
          <cell r="P4368">
            <v>-1.6109999999999999E-2</v>
          </cell>
          <cell r="Q4368">
            <v>-1.438E-2</v>
          </cell>
          <cell r="R4368">
            <v>-5.7999999999999996E-3</v>
          </cell>
          <cell r="S4368">
            <v>-9.92E-3</v>
          </cell>
          <cell r="T4368">
            <v>2.5699999999999998E-3</v>
          </cell>
          <cell r="U4368">
            <v>2.7599999999999999E-3</v>
          </cell>
          <cell r="V4368">
            <v>-8.8500000000000002E-3</v>
          </cell>
          <cell r="W4368">
            <v>2.794E-2</v>
          </cell>
          <cell r="Y4368">
            <v>-2.512E-2</v>
          </cell>
          <cell r="Z4368">
            <v>1.286E-2</v>
          </cell>
          <cell r="AA4368">
            <v>-0.1462</v>
          </cell>
          <cell r="AB4368">
            <v>-0.27512999999999999</v>
          </cell>
          <cell r="AC4368">
            <v>8.5980000000000001E-2</v>
          </cell>
          <cell r="AD4368">
            <v>-2.7810000000000001E-2</v>
          </cell>
          <cell r="AE4368">
            <v>-1.9300000000000001E-3</v>
          </cell>
          <cell r="AF4368">
            <v>-3.2299999999999998E-3</v>
          </cell>
          <cell r="AG4368">
            <v>-3.8300000000000001E-3</v>
          </cell>
          <cell r="AH4368">
            <v>2.0000000000000002E-5</v>
          </cell>
          <cell r="AI4368">
            <v>-1.6199999999999999E-3</v>
          </cell>
          <cell r="AJ4368">
            <v>-3.8E-3</v>
          </cell>
          <cell r="AK4368">
            <v>-2.1800000000000001E-3</v>
          </cell>
          <cell r="AL4368">
            <v>-1.3699999999999999E-3</v>
          </cell>
          <cell r="AM4368">
            <v>-2.2399999999999998E-3</v>
          </cell>
          <cell r="AN4368">
            <v>-3.1899999999999998E-2</v>
          </cell>
          <cell r="AO4368">
            <v>-2.0590000000000001E-2</v>
          </cell>
          <cell r="AP4368">
            <v>1.54E-2</v>
          </cell>
        </row>
        <row r="4369">
          <cell r="D4369" t="str">
            <v>柏崎市</v>
          </cell>
          <cell r="E4369" t="str">
            <v>2025→2030</v>
          </cell>
          <cell r="F4369">
            <v>-8.8900000000000003E-3</v>
          </cell>
          <cell r="G4369">
            <v>3.2100000000000002E-3</v>
          </cell>
          <cell r="H4369">
            <v>-9.5430000000000001E-2</v>
          </cell>
          <cell r="I4369">
            <v>-0.21842</v>
          </cell>
          <cell r="J4369">
            <v>-4.9699999999999996E-3</v>
          </cell>
          <cell r="K4369">
            <v>-6.0049999999999999E-2</v>
          </cell>
          <cell r="L4369">
            <v>-2.8559999999999999E-2</v>
          </cell>
          <cell r="M4369">
            <v>-1.1039999999999999E-2</v>
          </cell>
          <cell r="N4369">
            <v>2.6099999999999999E-3</v>
          </cell>
          <cell r="O4369">
            <v>3.5500000000000002E-3</v>
          </cell>
          <cell r="P4369">
            <v>-1.6580000000000001E-2</v>
          </cell>
          <cell r="Q4369">
            <v>-1.487E-2</v>
          </cell>
          <cell r="R4369">
            <v>-5.8500000000000002E-3</v>
          </cell>
          <cell r="S4369">
            <v>-9.4999999999999998E-3</v>
          </cell>
          <cell r="T4369">
            <v>4.8000000000000001E-4</v>
          </cell>
          <cell r="U4369">
            <v>8.4200000000000004E-3</v>
          </cell>
          <cell r="V4369">
            <v>-1.2409999999999999E-2</v>
          </cell>
          <cell r="W4369">
            <v>1.874E-2</v>
          </cell>
          <cell r="Y4369">
            <v>-2.5329999999999998E-2</v>
          </cell>
          <cell r="Z4369">
            <v>1.26E-2</v>
          </cell>
          <cell r="AA4369">
            <v>-0.14685999999999999</v>
          </cell>
          <cell r="AB4369">
            <v>-0.28122999999999998</v>
          </cell>
          <cell r="AC4369">
            <v>7.9089999999999994E-2</v>
          </cell>
          <cell r="AD4369">
            <v>-3.4459999999999998E-2</v>
          </cell>
          <cell r="AE4369">
            <v>-4.5300000000000002E-3</v>
          </cell>
          <cell r="AF4369">
            <v>-3.0400000000000002E-3</v>
          </cell>
          <cell r="AG4369">
            <v>-3.5899999999999999E-3</v>
          </cell>
          <cell r="AH4369">
            <v>9.7000000000000005E-4</v>
          </cell>
          <cell r="AI4369">
            <v>-1.81E-3</v>
          </cell>
          <cell r="AJ4369">
            <v>-4.28E-3</v>
          </cell>
          <cell r="AK4369">
            <v>-2.0400000000000001E-3</v>
          </cell>
          <cell r="AL4369">
            <v>-1.24E-3</v>
          </cell>
          <cell r="AM4369">
            <v>-2.7599999999999999E-3</v>
          </cell>
          <cell r="AN4369">
            <v>-2.9420000000000002E-2</v>
          </cell>
          <cell r="AO4369">
            <v>-2.2669999999999999E-2</v>
          </cell>
          <cell r="AP4369">
            <v>5.2500000000000003E-3</v>
          </cell>
        </row>
        <row r="4370">
          <cell r="D4370" t="str">
            <v>柏崎市</v>
          </cell>
          <cell r="E4370" t="str">
            <v>2030→2035</v>
          </cell>
          <cell r="F4370">
            <v>-9.9900000000000006E-3</v>
          </cell>
          <cell r="G4370">
            <v>2.96E-3</v>
          </cell>
          <cell r="H4370">
            <v>-9.6640000000000004E-2</v>
          </cell>
          <cell r="I4370">
            <v>-0.22278000000000001</v>
          </cell>
          <cell r="J4370">
            <v>-1.061E-2</v>
          </cell>
          <cell r="K4370">
            <v>-6.4449999999999993E-2</v>
          </cell>
          <cell r="L4370">
            <v>-3.4549999999999997E-2</v>
          </cell>
          <cell r="M4370">
            <v>-1.2699999999999999E-2</v>
          </cell>
          <cell r="N4370">
            <v>2.7599999999999999E-3</v>
          </cell>
          <cell r="O4370">
            <v>3.4199999999999999E-3</v>
          </cell>
          <cell r="P4370">
            <v>-1.546E-2</v>
          </cell>
          <cell r="Q4370">
            <v>-1.5140000000000001E-2</v>
          </cell>
          <cell r="R4370">
            <v>-6.1900000000000002E-3</v>
          </cell>
          <cell r="S4370">
            <v>-9.0600000000000003E-3</v>
          </cell>
          <cell r="T4370">
            <v>1.07E-3</v>
          </cell>
          <cell r="U4370">
            <v>5.0600000000000003E-3</v>
          </cell>
          <cell r="V4370">
            <v>-4.6299999999999996E-3</v>
          </cell>
          <cell r="W4370">
            <v>1.439E-2</v>
          </cell>
          <cell r="Y4370">
            <v>-2.631E-2</v>
          </cell>
          <cell r="Z4370">
            <v>1.2279999999999999E-2</v>
          </cell>
          <cell r="AA4370">
            <v>-0.14726</v>
          </cell>
          <cell r="AB4370">
            <v>-0.28406999999999999</v>
          </cell>
          <cell r="AC4370">
            <v>6.8610000000000004E-2</v>
          </cell>
          <cell r="AD4370">
            <v>-3.807E-2</v>
          </cell>
          <cell r="AE4370">
            <v>-9.0900000000000009E-3</v>
          </cell>
          <cell r="AF4370">
            <v>-4.8799999999999998E-3</v>
          </cell>
          <cell r="AG4370">
            <v>-3.6099999999999999E-3</v>
          </cell>
          <cell r="AH4370">
            <v>1.01E-3</v>
          </cell>
          <cell r="AI4370">
            <v>-1.2700000000000001E-3</v>
          </cell>
          <cell r="AJ4370">
            <v>-4.4299999999999999E-3</v>
          </cell>
          <cell r="AK4370">
            <v>-2.4199999999999998E-3</v>
          </cell>
          <cell r="AL4370">
            <v>-1.08E-3</v>
          </cell>
          <cell r="AM4370">
            <v>-2.4599999999999999E-3</v>
          </cell>
          <cell r="AN4370">
            <v>-3.2629999999999999E-2</v>
          </cell>
          <cell r="AO4370">
            <v>-1.7680000000000001E-2</v>
          </cell>
          <cell r="AP4370">
            <v>2.33E-3</v>
          </cell>
        </row>
        <row r="4371">
          <cell r="D4371" t="str">
            <v>柏崎市</v>
          </cell>
          <cell r="E4371" t="str">
            <v>2035→2040</v>
          </cell>
          <cell r="F4371">
            <v>-1.129E-2</v>
          </cell>
          <cell r="G4371">
            <v>2.2100000000000002E-3</v>
          </cell>
          <cell r="H4371">
            <v>-9.7890000000000005E-2</v>
          </cell>
          <cell r="I4371">
            <v>-0.22609000000000001</v>
          </cell>
          <cell r="J4371">
            <v>-1.286E-2</v>
          </cell>
          <cell r="K4371">
            <v>-6.8519999999999998E-2</v>
          </cell>
          <cell r="L4371">
            <v>-3.7850000000000002E-2</v>
          </cell>
          <cell r="M4371">
            <v>-1.7739999999999999E-2</v>
          </cell>
          <cell r="N4371">
            <v>8.4999999999999995E-4</v>
          </cell>
          <cell r="O4371">
            <v>3.6900000000000001E-3</v>
          </cell>
          <cell r="P4371">
            <v>-1.554E-2</v>
          </cell>
          <cell r="Q4371">
            <v>-1.473E-2</v>
          </cell>
          <cell r="R4371">
            <v>-6.8300000000000001E-3</v>
          </cell>
          <cell r="S4371">
            <v>-9.0799999999999995E-3</v>
          </cell>
          <cell r="T4371">
            <v>1.57E-3</v>
          </cell>
          <cell r="U4371">
            <v>6.2500000000000003E-3</v>
          </cell>
          <cell r="V4371">
            <v>-9.7000000000000003E-3</v>
          </cell>
          <cell r="W4371">
            <v>2.4580000000000001E-2</v>
          </cell>
          <cell r="Y4371">
            <v>-2.7490000000000001E-2</v>
          </cell>
          <cell r="Z4371">
            <v>1.1379999999999999E-2</v>
          </cell>
          <cell r="AA4371">
            <v>-0.14777000000000001</v>
          </cell>
          <cell r="AB4371">
            <v>-0.28581000000000001</v>
          </cell>
          <cell r="AC4371">
            <v>6.4259999999999998E-2</v>
          </cell>
          <cell r="AD4371">
            <v>-4.3229999999999998E-2</v>
          </cell>
          <cell r="AE4371">
            <v>-1.157E-2</v>
          </cell>
          <cell r="AF4371">
            <v>-7.79E-3</v>
          </cell>
          <cell r="AG4371">
            <v>-4.6699999999999997E-3</v>
          </cell>
          <cell r="AH4371">
            <v>1.0499999999999999E-3</v>
          </cell>
          <cell r="AI4371">
            <v>-1.2600000000000001E-3</v>
          </cell>
          <cell r="AJ4371">
            <v>-4.0200000000000001E-3</v>
          </cell>
          <cell r="AK4371">
            <v>-2.6900000000000001E-3</v>
          </cell>
          <cell r="AL4371">
            <v>-1.4E-3</v>
          </cell>
          <cell r="AM4371">
            <v>-3.0200000000000001E-3</v>
          </cell>
          <cell r="AN4371">
            <v>-3.1699999999999999E-2</v>
          </cell>
          <cell r="AO4371">
            <v>-2.2159999999999999E-2</v>
          </cell>
          <cell r="AP4371">
            <v>1.175E-2</v>
          </cell>
        </row>
        <row r="4372">
          <cell r="D4372" t="str">
            <v>柏崎市</v>
          </cell>
          <cell r="E4372" t="str">
            <v>2040→2045</v>
          </cell>
          <cell r="F4372">
            <v>-1.2800000000000001E-2</v>
          </cell>
          <cell r="G4372">
            <v>1.3500000000000001E-3</v>
          </cell>
          <cell r="H4372">
            <v>-9.9949999999999997E-2</v>
          </cell>
          <cell r="I4372">
            <v>-0.22983999999999999</v>
          </cell>
          <cell r="J4372">
            <v>-1.4540000000000001E-2</v>
          </cell>
          <cell r="K4372">
            <v>-7.0010000000000003E-2</v>
          </cell>
          <cell r="L4372">
            <v>-4.0649999999999999E-2</v>
          </cell>
          <cell r="M4372">
            <v>-2.0490000000000001E-2</v>
          </cell>
          <cell r="N4372">
            <v>-5.0200000000000002E-3</v>
          </cell>
          <cell r="O4372">
            <v>2.5699999999999998E-3</v>
          </cell>
          <cell r="P4372">
            <v>-1.5389999999999999E-2</v>
          </cell>
          <cell r="Q4372">
            <v>-1.469E-2</v>
          </cell>
          <cell r="R4372">
            <v>-6.5599999999999999E-3</v>
          </cell>
          <cell r="S4372">
            <v>-9.7999999999999997E-3</v>
          </cell>
          <cell r="T4372">
            <v>1.1000000000000001E-3</v>
          </cell>
          <cell r="U4372">
            <v>5.3200000000000001E-3</v>
          </cell>
          <cell r="V4372">
            <v>-7.7400000000000004E-3</v>
          </cell>
          <cell r="W4372">
            <v>4.1099999999999999E-3</v>
          </cell>
          <cell r="Y4372">
            <v>-2.8850000000000001E-2</v>
          </cell>
          <cell r="Z4372">
            <v>1.034E-2</v>
          </cell>
          <cell r="AA4372">
            <v>-0.14859</v>
          </cell>
          <cell r="AB4372">
            <v>-0.28816999999999998</v>
          </cell>
          <cell r="AC4372">
            <v>6.2149999999999997E-2</v>
          </cell>
          <cell r="AD4372">
            <v>-4.4900000000000002E-2</v>
          </cell>
          <cell r="AE4372">
            <v>-1.482E-2</v>
          </cell>
          <cell r="AF4372">
            <v>-9.3500000000000007E-3</v>
          </cell>
          <cell r="AG4372">
            <v>-6.2500000000000003E-3</v>
          </cell>
          <cell r="AH4372">
            <v>4.6999999999999999E-4</v>
          </cell>
          <cell r="AI4372">
            <v>-1.17E-3</v>
          </cell>
          <cell r="AJ4372">
            <v>-3.96E-3</v>
          </cell>
          <cell r="AK4372">
            <v>-2.4399999999999999E-3</v>
          </cell>
          <cell r="AL4372">
            <v>-1.7899999999999999E-3</v>
          </cell>
          <cell r="AM4372">
            <v>-3.3800000000000002E-3</v>
          </cell>
          <cell r="AN4372">
            <v>-3.1060000000000001E-2</v>
          </cell>
          <cell r="AO4372">
            <v>-2.0590000000000001E-2</v>
          </cell>
          <cell r="AP4372">
            <v>-9.41E-3</v>
          </cell>
        </row>
        <row r="4373">
          <cell r="D4373" t="str">
            <v>新発田市</v>
          </cell>
          <cell r="E4373" t="str">
            <v>2015→2020</v>
          </cell>
          <cell r="F4373">
            <v>3.4349999999999999E-2</v>
          </cell>
          <cell r="G4373">
            <v>1.312E-2</v>
          </cell>
          <cell r="H4373">
            <v>-5.04E-2</v>
          </cell>
          <cell r="I4373">
            <v>-0.15794</v>
          </cell>
          <cell r="J4373">
            <v>8.6900000000000005E-2</v>
          </cell>
          <cell r="K4373">
            <v>1.542E-2</v>
          </cell>
          <cell r="L4373">
            <v>4.8900000000000002E-3</v>
          </cell>
          <cell r="M4373">
            <v>1.163E-2</v>
          </cell>
          <cell r="N4373">
            <v>3.8800000000000002E-3</v>
          </cell>
          <cell r="O4373">
            <v>1.9949999999999999E-2</v>
          </cell>
          <cell r="P4373">
            <v>7.2100000000000003E-3</v>
          </cell>
          <cell r="Q4373">
            <v>1.183E-2</v>
          </cell>
          <cell r="R4373">
            <v>-4.6100000000000004E-3</v>
          </cell>
          <cell r="S4373">
            <v>-1.038E-2</v>
          </cell>
          <cell r="T4373">
            <v>-1.3520000000000001E-2</v>
          </cell>
          <cell r="U4373">
            <v>-2.078E-2</v>
          </cell>
          <cell r="V4373">
            <v>-3.6519999999999997E-2</v>
          </cell>
          <cell r="W4373">
            <v>1.5599999999999999E-2</v>
          </cell>
          <cell r="Y4373">
            <v>2.6939999999999999E-2</v>
          </cell>
          <cell r="Z4373">
            <v>2.6839999999999999E-2</v>
          </cell>
          <cell r="AA4373">
            <v>-6.053E-2</v>
          </cell>
          <cell r="AB4373">
            <v>-0.17080999999999999</v>
          </cell>
          <cell r="AC4373">
            <v>3.0380000000000001E-2</v>
          </cell>
          <cell r="AD4373">
            <v>1.8E-3</v>
          </cell>
          <cell r="AE4373">
            <v>1.9269999999999999E-2</v>
          </cell>
          <cell r="AF4373">
            <v>8.3099999999999997E-3</v>
          </cell>
          <cell r="AG4373">
            <v>7.7400000000000004E-3</v>
          </cell>
          <cell r="AH4373">
            <v>1.6500000000000001E-2</v>
          </cell>
          <cell r="AI4373">
            <v>1.2E-4</v>
          </cell>
          <cell r="AJ4373">
            <v>2.7200000000000002E-3</v>
          </cell>
          <cell r="AK4373">
            <v>4.2500000000000003E-3</v>
          </cell>
          <cell r="AL4373">
            <v>-5.4799999999999996E-3</v>
          </cell>
          <cell r="AM4373">
            <v>3.0699999999999998E-3</v>
          </cell>
          <cell r="AN4373">
            <v>-3.98E-3</v>
          </cell>
          <cell r="AO4373">
            <v>-2.7029999999999998E-2</v>
          </cell>
          <cell r="AP4373">
            <v>2.759E-2</v>
          </cell>
        </row>
        <row r="4374">
          <cell r="D4374" t="str">
            <v>新発田市</v>
          </cell>
          <cell r="E4374" t="str">
            <v>2020→2025</v>
          </cell>
          <cell r="F4374">
            <v>3.6310000000000002E-2</v>
          </cell>
          <cell r="G4374">
            <v>1.243E-2</v>
          </cell>
          <cell r="H4374">
            <v>-5.1790000000000003E-2</v>
          </cell>
          <cell r="I4374">
            <v>-0.16209000000000001</v>
          </cell>
          <cell r="J4374">
            <v>8.1699999999999995E-2</v>
          </cell>
          <cell r="K4374">
            <v>2.3179999999999999E-2</v>
          </cell>
          <cell r="L4374">
            <v>1.32E-3</v>
          </cell>
          <cell r="M4374">
            <v>1.0789999999999999E-2</v>
          </cell>
          <cell r="N4374">
            <v>2.15E-3</v>
          </cell>
          <cell r="O4374">
            <v>2.0590000000000001E-2</v>
          </cell>
          <cell r="P4374">
            <v>6.94E-3</v>
          </cell>
          <cell r="Q4374">
            <v>1.2449999999999999E-2</v>
          </cell>
          <cell r="R4374">
            <v>-4.7200000000000002E-3</v>
          </cell>
          <cell r="S4374">
            <v>-1.2019999999999999E-2</v>
          </cell>
          <cell r="T4374">
            <v>-1.099E-2</v>
          </cell>
          <cell r="U4374">
            <v>-2.2409999999999999E-2</v>
          </cell>
          <cell r="V4374">
            <v>-3.8469999999999997E-2</v>
          </cell>
          <cell r="W4374">
            <v>1.0160000000000001E-2</v>
          </cell>
          <cell r="Y4374">
            <v>3.04E-2</v>
          </cell>
          <cell r="Z4374">
            <v>2.579E-2</v>
          </cell>
          <cell r="AA4374">
            <v>-6.1420000000000002E-2</v>
          </cell>
          <cell r="AB4374">
            <v>-0.17301</v>
          </cell>
          <cell r="AC4374">
            <v>2.358E-2</v>
          </cell>
          <cell r="AD4374">
            <v>1.1169999999999999E-2</v>
          </cell>
          <cell r="AE4374">
            <v>1.7659999999999999E-2</v>
          </cell>
          <cell r="AF4374">
            <v>7.79E-3</v>
          </cell>
          <cell r="AG4374">
            <v>8.3999999999999995E-3</v>
          </cell>
          <cell r="AH4374">
            <v>1.6789999999999999E-2</v>
          </cell>
          <cell r="AI4374">
            <v>-6.0000000000000002E-5</v>
          </cell>
          <cell r="AJ4374">
            <v>2.6900000000000001E-3</v>
          </cell>
          <cell r="AK4374">
            <v>4.4299999999999999E-3</v>
          </cell>
          <cell r="AL4374">
            <v>-6.4400000000000004E-3</v>
          </cell>
          <cell r="AM4374">
            <v>5.5399999999999998E-3</v>
          </cell>
          <cell r="AN4374">
            <v>-5.2900000000000004E-3</v>
          </cell>
          <cell r="AO4374">
            <v>-2.835E-2</v>
          </cell>
          <cell r="AP4374">
            <v>2.307E-2</v>
          </cell>
        </row>
        <row r="4375">
          <cell r="D4375" t="str">
            <v>新発田市</v>
          </cell>
          <cell r="E4375" t="str">
            <v>2025→2030</v>
          </cell>
          <cell r="F4375">
            <v>3.7670000000000002E-2</v>
          </cell>
          <cell r="G4375">
            <v>1.2800000000000001E-2</v>
          </cell>
          <cell r="H4375">
            <v>-5.1970000000000002E-2</v>
          </cell>
          <cell r="I4375">
            <v>-0.16481000000000001</v>
          </cell>
          <cell r="J4375">
            <v>7.4579999999999994E-2</v>
          </cell>
          <cell r="K4375">
            <v>2.2079999999999999E-2</v>
          </cell>
          <cell r="L4375">
            <v>4.0800000000000003E-3</v>
          </cell>
          <cell r="M4375">
            <v>7.4900000000000001E-3</v>
          </cell>
          <cell r="N4375">
            <v>1.1800000000000001E-3</v>
          </cell>
          <cell r="O4375">
            <v>2.4039999999999999E-2</v>
          </cell>
          <cell r="P4375">
            <v>6.8500000000000002E-3</v>
          </cell>
          <cell r="Q4375">
            <v>1.256E-2</v>
          </cell>
          <cell r="R4375">
            <v>-3.6800000000000001E-3</v>
          </cell>
          <cell r="S4375">
            <v>-1.1679999999999999E-2</v>
          </cell>
          <cell r="T4375">
            <v>-1.388E-2</v>
          </cell>
          <cell r="U4375">
            <v>-1.7979999999999999E-2</v>
          </cell>
          <cell r="V4375">
            <v>-4.0829999999999998E-2</v>
          </cell>
          <cell r="W4375">
            <v>2.9299999999999999E-3</v>
          </cell>
          <cell r="Y4375">
            <v>3.1739999999999997E-2</v>
          </cell>
          <cell r="Z4375">
            <v>2.6800000000000001E-2</v>
          </cell>
          <cell r="AA4375">
            <v>-6.1789999999999998E-2</v>
          </cell>
          <cell r="AB4375">
            <v>-0.17476</v>
          </cell>
          <cell r="AC4375">
            <v>1.856E-2</v>
          </cell>
          <cell r="AD4375">
            <v>5.13E-3</v>
          </cell>
          <cell r="AE4375">
            <v>2.307E-2</v>
          </cell>
          <cell r="AF4375">
            <v>6.4099999999999999E-3</v>
          </cell>
          <cell r="AG4375">
            <v>7.7600000000000004E-3</v>
          </cell>
          <cell r="AH4375">
            <v>1.8350000000000002E-2</v>
          </cell>
          <cell r="AI4375">
            <v>9.0000000000000006E-5</v>
          </cell>
          <cell r="AJ4375">
            <v>2.5899999999999999E-3</v>
          </cell>
          <cell r="AK4375">
            <v>6.0200000000000002E-3</v>
          </cell>
          <cell r="AL4375">
            <v>-6.2500000000000003E-3</v>
          </cell>
          <cell r="AM4375">
            <v>5.0099999999999997E-3</v>
          </cell>
          <cell r="AN4375">
            <v>-1.83E-3</v>
          </cell>
          <cell r="AO4375">
            <v>-3.014E-2</v>
          </cell>
          <cell r="AP4375">
            <v>1.353E-2</v>
          </cell>
        </row>
        <row r="4376">
          <cell r="D4376" t="str">
            <v>新発田市</v>
          </cell>
          <cell r="E4376" t="str">
            <v>2030→2035</v>
          </cell>
          <cell r="F4376">
            <v>3.9739999999999998E-2</v>
          </cell>
          <cell r="G4376">
            <v>1.3140000000000001E-2</v>
          </cell>
          <cell r="H4376">
            <v>-5.2380000000000003E-2</v>
          </cell>
          <cell r="I4376">
            <v>-0.16553999999999999</v>
          </cell>
          <cell r="J4376">
            <v>7.3039999999999994E-2</v>
          </cell>
          <cell r="K4376">
            <v>1.634E-2</v>
          </cell>
          <cell r="L4376">
            <v>4.62E-3</v>
          </cell>
          <cell r="M4376">
            <v>9.0100000000000006E-3</v>
          </cell>
          <cell r="N4376">
            <v>-9.1E-4</v>
          </cell>
          <cell r="O4376">
            <v>2.3949999999999999E-2</v>
          </cell>
          <cell r="P4376">
            <v>8.6700000000000006E-3</v>
          </cell>
          <cell r="Q4376">
            <v>1.225E-2</v>
          </cell>
          <cell r="R4376">
            <v>-3.5599999999999998E-3</v>
          </cell>
          <cell r="S4376">
            <v>-1.1050000000000001E-2</v>
          </cell>
          <cell r="T4376">
            <v>-1.316E-2</v>
          </cell>
          <cell r="U4376">
            <v>-2.316E-2</v>
          </cell>
          <cell r="V4376">
            <v>-3.4770000000000002E-2</v>
          </cell>
          <cell r="W4376">
            <v>-1E-4</v>
          </cell>
          <cell r="Y4376">
            <v>3.3790000000000001E-2</v>
          </cell>
          <cell r="Z4376">
            <v>2.7179999999999999E-2</v>
          </cell>
          <cell r="AA4376">
            <v>-6.216E-2</v>
          </cell>
          <cell r="AB4376">
            <v>-0.17566000000000001</v>
          </cell>
          <cell r="AC4376">
            <v>1.702E-2</v>
          </cell>
          <cell r="AD4376">
            <v>6.9999999999999999E-4</v>
          </cell>
          <cell r="AE4376">
            <v>2.0889999999999999E-2</v>
          </cell>
          <cell r="AF4376">
            <v>8.5299999999999994E-3</v>
          </cell>
          <cell r="AG4376">
            <v>6.8799999999999998E-3</v>
          </cell>
          <cell r="AH4376">
            <v>1.84E-2</v>
          </cell>
          <cell r="AI4376">
            <v>6.2E-4</v>
          </cell>
          <cell r="AJ4376">
            <v>2.7299999999999998E-3</v>
          </cell>
          <cell r="AK4376">
            <v>5.6600000000000001E-3</v>
          </cell>
          <cell r="AL4376">
            <v>-5.8199999999999997E-3</v>
          </cell>
          <cell r="AM4376">
            <v>5.2100000000000002E-3</v>
          </cell>
          <cell r="AN4376">
            <v>-3.9100000000000003E-3</v>
          </cell>
          <cell r="AO4376">
            <v>-2.4979999999999999E-2</v>
          </cell>
          <cell r="AP4376">
            <v>1.0630000000000001E-2</v>
          </cell>
        </row>
        <row r="4377">
          <cell r="D4377" t="str">
            <v>新発田市</v>
          </cell>
          <cell r="E4377" t="str">
            <v>2035→2040</v>
          </cell>
          <cell r="F4377">
            <v>4.1489999999999999E-2</v>
          </cell>
          <cell r="G4377">
            <v>1.37E-2</v>
          </cell>
          <cell r="H4377">
            <v>-5.2900000000000003E-2</v>
          </cell>
          <cell r="I4377">
            <v>-0.16658000000000001</v>
          </cell>
          <cell r="J4377">
            <v>7.4090000000000003E-2</v>
          </cell>
          <cell r="K4377">
            <v>1.421E-2</v>
          </cell>
          <cell r="L4377">
            <v>7.3999999999999999E-4</v>
          </cell>
          <cell r="M4377">
            <v>1.8630000000000001E-2</v>
          </cell>
          <cell r="N4377">
            <v>-6.0000000000000002E-5</v>
          </cell>
          <cell r="O4377">
            <v>2.3040000000000001E-2</v>
          </cell>
          <cell r="P4377">
            <v>8.6E-3</v>
          </cell>
          <cell r="Q4377">
            <v>1.35E-2</v>
          </cell>
          <cell r="R4377">
            <v>-4.0600000000000002E-3</v>
          </cell>
          <cell r="S4377">
            <v>-1.057E-2</v>
          </cell>
          <cell r="T4377">
            <v>-1.268E-2</v>
          </cell>
          <cell r="U4377">
            <v>-2.1649999999999999E-2</v>
          </cell>
          <cell r="V4377">
            <v>-4.1849999999999998E-2</v>
          </cell>
          <cell r="W4377">
            <v>8.8500000000000002E-3</v>
          </cell>
          <cell r="Y4377">
            <v>3.5589999999999997E-2</v>
          </cell>
          <cell r="Z4377">
            <v>2.7820000000000001E-2</v>
          </cell>
          <cell r="AA4377">
            <v>-6.268E-2</v>
          </cell>
          <cell r="AB4377">
            <v>-0.17645</v>
          </cell>
          <cell r="AC4377">
            <v>1.6539999999999999E-2</v>
          </cell>
          <cell r="AD4377">
            <v>-8.8999999999999995E-4</v>
          </cell>
          <cell r="AE4377">
            <v>1.7729999999999999E-2</v>
          </cell>
          <cell r="AF4377">
            <v>1.4930000000000001E-2</v>
          </cell>
          <cell r="AG4377">
            <v>7.8499999999999993E-3</v>
          </cell>
          <cell r="AH4377">
            <v>1.8880000000000001E-2</v>
          </cell>
          <cell r="AI4377">
            <v>6.2E-4</v>
          </cell>
          <cell r="AJ4377">
            <v>3.32E-3</v>
          </cell>
          <cell r="AK4377">
            <v>5.64E-3</v>
          </cell>
          <cell r="AL4377">
            <v>-5.5700000000000003E-3</v>
          </cell>
          <cell r="AM4377">
            <v>4.5100000000000001E-3</v>
          </cell>
          <cell r="AN4377">
            <v>-3.49E-3</v>
          </cell>
          <cell r="AO4377">
            <v>-2.9659999999999999E-2</v>
          </cell>
          <cell r="AP4377">
            <v>2.0459999999999999E-2</v>
          </cell>
        </row>
        <row r="4378">
          <cell r="D4378" t="str">
            <v>新発田市</v>
          </cell>
          <cell r="E4378" t="str">
            <v>2040→2045</v>
          </cell>
          <cell r="F4378">
            <v>4.0779999999999997E-2</v>
          </cell>
          <cell r="G4378">
            <v>1.464E-2</v>
          </cell>
          <cell r="H4378">
            <v>-5.4140000000000001E-2</v>
          </cell>
          <cell r="I4378">
            <v>-0.16807</v>
          </cell>
          <cell r="J4378">
            <v>7.4020000000000002E-2</v>
          </cell>
          <cell r="K4378">
            <v>1.461E-2</v>
          </cell>
          <cell r="L4378">
            <v>-6.0999999999999997E-4</v>
          </cell>
          <cell r="M4378">
            <v>1.6930000000000001E-2</v>
          </cell>
          <cell r="N4378">
            <v>5.6499999999999996E-3</v>
          </cell>
          <cell r="O4378">
            <v>2.4170000000000001E-2</v>
          </cell>
          <cell r="P4378">
            <v>8.9999999999999993E-3</v>
          </cell>
          <cell r="Q4378">
            <v>1.362E-2</v>
          </cell>
          <cell r="R4378">
            <v>-3.62E-3</v>
          </cell>
          <cell r="S4378">
            <v>-1.125E-2</v>
          </cell>
          <cell r="T4378">
            <v>-1.235E-2</v>
          </cell>
          <cell r="U4378">
            <v>-2.0899999999999998E-2</v>
          </cell>
          <cell r="V4378">
            <v>-3.952E-2</v>
          </cell>
          <cell r="W4378">
            <v>-1.0789999999999999E-2</v>
          </cell>
          <cell r="Y4378">
            <v>3.483E-2</v>
          </cell>
          <cell r="Z4378">
            <v>2.802E-2</v>
          </cell>
          <cell r="AA4378">
            <v>-6.3759999999999997E-2</v>
          </cell>
          <cell r="AB4378">
            <v>-0.17763999999999999</v>
          </cell>
          <cell r="AC4378">
            <v>1.6209999999999999E-2</v>
          </cell>
          <cell r="AD4378">
            <v>-7.1000000000000002E-4</v>
          </cell>
          <cell r="AE4378">
            <v>1.669E-2</v>
          </cell>
          <cell r="AF4378">
            <v>1.2930000000000001E-2</v>
          </cell>
          <cell r="AG4378">
            <v>9.1199999999999996E-3</v>
          </cell>
          <cell r="AH4378">
            <v>1.8780000000000002E-2</v>
          </cell>
          <cell r="AI4378">
            <v>8.8000000000000003E-4</v>
          </cell>
          <cell r="AJ4378">
            <v>3.3999999999999998E-3</v>
          </cell>
          <cell r="AK4378">
            <v>6.3600000000000002E-3</v>
          </cell>
          <cell r="AL4378">
            <v>-5.8300000000000001E-3</v>
          </cell>
          <cell r="AM4378">
            <v>4.0499999999999998E-3</v>
          </cell>
          <cell r="AN4378">
            <v>-3.7499999999999999E-3</v>
          </cell>
          <cell r="AO4378">
            <v>-2.835E-2</v>
          </cell>
          <cell r="AP4378">
            <v>2.3000000000000001E-4</v>
          </cell>
        </row>
        <row r="4379">
          <cell r="D4379" t="str">
            <v>小千谷市</v>
          </cell>
          <cell r="E4379" t="str">
            <v>2015→2020</v>
          </cell>
          <cell r="F4379">
            <v>-4.4049999999999999E-2</v>
          </cell>
          <cell r="G4379">
            <v>-1.456E-2</v>
          </cell>
          <cell r="H4379">
            <v>-0.11821</v>
          </cell>
          <cell r="I4379">
            <v>-0.28849999999999998</v>
          </cell>
          <cell r="J4379">
            <v>0.20516999999999999</v>
          </cell>
          <cell r="K4379">
            <v>-3.8999999999999998E-3</v>
          </cell>
          <cell r="L4379">
            <v>3.5100000000000001E-3</v>
          </cell>
          <cell r="M4379">
            <v>-1.813E-2</v>
          </cell>
          <cell r="N4379">
            <v>-1.286E-2</v>
          </cell>
          <cell r="O4379">
            <v>-2.5170000000000001E-2</v>
          </cell>
          <cell r="P4379">
            <v>-2.222E-2</v>
          </cell>
          <cell r="Q4379">
            <v>1.3469999999999999E-2</v>
          </cell>
          <cell r="R4379">
            <v>5.62E-3</v>
          </cell>
          <cell r="S4379">
            <v>2.0140000000000002E-2</v>
          </cell>
          <cell r="T4379">
            <v>5.94E-3</v>
          </cell>
          <cell r="U4379">
            <v>8.2100000000000003E-3</v>
          </cell>
          <cell r="V4379">
            <v>6.5900000000000004E-3</v>
          </cell>
          <cell r="W4379">
            <v>1.7729999999999999E-2</v>
          </cell>
          <cell r="Y4379">
            <v>8.7899999999999992E-3</v>
          </cell>
          <cell r="Z4379">
            <v>-2.002E-2</v>
          </cell>
          <cell r="AA4379">
            <v>-0.15859999999999999</v>
          </cell>
          <cell r="AB4379">
            <v>-0.30863000000000002</v>
          </cell>
          <cell r="AC4379">
            <v>0.1149</v>
          </cell>
          <cell r="AD4379">
            <v>-5.4489999999999997E-2</v>
          </cell>
          <cell r="AE4379">
            <v>-2.7380000000000002E-2</v>
          </cell>
          <cell r="AF4379">
            <v>-1.404E-2</v>
          </cell>
          <cell r="AG4379">
            <v>-2.5930000000000002E-2</v>
          </cell>
          <cell r="AH4379">
            <v>-2.0490000000000001E-2</v>
          </cell>
          <cell r="AI4379">
            <v>-1.5520000000000001E-2</v>
          </cell>
          <cell r="AJ4379">
            <v>-6.4000000000000005E-4</v>
          </cell>
          <cell r="AK4379">
            <v>2.2899999999999999E-3</v>
          </cell>
          <cell r="AL4379">
            <v>1.009E-2</v>
          </cell>
          <cell r="AM4379">
            <v>-7.9000000000000001E-4</v>
          </cell>
          <cell r="AN4379">
            <v>-5.8999999999999999E-3</v>
          </cell>
          <cell r="AO4379">
            <v>-3.108E-2</v>
          </cell>
          <cell r="AP4379">
            <v>2.179E-2</v>
          </cell>
        </row>
        <row r="4380">
          <cell r="D4380" t="str">
            <v>小千谷市</v>
          </cell>
          <cell r="E4380" t="str">
            <v>2020→2025</v>
          </cell>
          <cell r="F4380">
            <v>-4.3450000000000003E-2</v>
          </cell>
          <cell r="G4380">
            <v>-1.43E-2</v>
          </cell>
          <cell r="H4380">
            <v>-0.11835</v>
          </cell>
          <cell r="I4380">
            <v>-0.28739999999999999</v>
          </cell>
          <cell r="J4380">
            <v>0.19958999999999999</v>
          </cell>
          <cell r="K4380">
            <v>-2E-3</v>
          </cell>
          <cell r="L4380">
            <v>5.0400000000000002E-3</v>
          </cell>
          <cell r="M4380">
            <v>-1.3100000000000001E-2</v>
          </cell>
          <cell r="N4380">
            <v>-9.9900000000000006E-3</v>
          </cell>
          <cell r="O4380">
            <v>-2.3449999999999999E-2</v>
          </cell>
          <cell r="P4380">
            <v>-2.222E-2</v>
          </cell>
          <cell r="Q4380">
            <v>1.341E-2</v>
          </cell>
          <cell r="R4380">
            <v>6.7099999999999998E-3</v>
          </cell>
          <cell r="S4380">
            <v>1.8859999999999998E-2</v>
          </cell>
          <cell r="T4380">
            <v>9.7900000000000001E-3</v>
          </cell>
          <cell r="U4380">
            <v>5.4299999999999999E-3</v>
          </cell>
          <cell r="V4380">
            <v>4.2300000000000003E-3</v>
          </cell>
          <cell r="W4380">
            <v>1.085E-2</v>
          </cell>
          <cell r="Y4380">
            <v>1.023E-2</v>
          </cell>
          <cell r="Z4380">
            <v>-1.821E-2</v>
          </cell>
          <cell r="AA4380">
            <v>-0.15859999999999999</v>
          </cell>
          <cell r="AB4380">
            <v>-0.30961</v>
          </cell>
          <cell r="AC4380">
            <v>0.11076999999999999</v>
          </cell>
          <cell r="AD4380">
            <v>-5.3449999999999998E-2</v>
          </cell>
          <cell r="AE4380">
            <v>-2.5499999999999998E-2</v>
          </cell>
          <cell r="AF4380">
            <v>-1.183E-2</v>
          </cell>
          <cell r="AG4380">
            <v>-2.486E-2</v>
          </cell>
          <cell r="AH4380">
            <v>-2.0379999999999999E-2</v>
          </cell>
          <cell r="AI4380">
            <v>-1.553E-2</v>
          </cell>
          <cell r="AJ4380">
            <v>-7.2999999999999996E-4</v>
          </cell>
          <cell r="AK4380">
            <v>2.6900000000000001E-3</v>
          </cell>
          <cell r="AL4380">
            <v>0.01</v>
          </cell>
          <cell r="AM4380">
            <v>1.06E-3</v>
          </cell>
          <cell r="AN4380">
            <v>-7.0099999999999997E-3</v>
          </cell>
          <cell r="AO4380">
            <v>-3.2719999999999999E-2</v>
          </cell>
          <cell r="AP4380">
            <v>1.443E-2</v>
          </cell>
        </row>
        <row r="4381">
          <cell r="D4381" t="str">
            <v>小千谷市</v>
          </cell>
          <cell r="E4381" t="str">
            <v>2025→2030</v>
          </cell>
          <cell r="F4381">
            <v>-4.2939999999999999E-2</v>
          </cell>
          <cell r="G4381">
            <v>-1.421E-2</v>
          </cell>
          <cell r="H4381">
            <v>-0.11847000000000001</v>
          </cell>
          <cell r="I4381">
            <v>-0.28791</v>
          </cell>
          <cell r="J4381">
            <v>0.1915</v>
          </cell>
          <cell r="K4381">
            <v>-6.0400000000000002E-3</v>
          </cell>
          <cell r="L4381">
            <v>5.2100000000000002E-3</v>
          </cell>
          <cell r="M4381">
            <v>-1.298E-2</v>
          </cell>
          <cell r="N4381">
            <v>-1.0059999999999999E-2</v>
          </cell>
          <cell r="O4381">
            <v>-2.283E-2</v>
          </cell>
          <cell r="P4381">
            <v>-2.2290000000000001E-2</v>
          </cell>
          <cell r="Q4381">
            <v>1.3809999999999999E-2</v>
          </cell>
          <cell r="R4381">
            <v>6.3800000000000003E-3</v>
          </cell>
          <cell r="S4381">
            <v>2.283E-2</v>
          </cell>
          <cell r="T4381">
            <v>7.1000000000000004E-3</v>
          </cell>
          <cell r="U4381">
            <v>1.128E-2</v>
          </cell>
          <cell r="V4381">
            <v>4.0999999999999999E-4</v>
          </cell>
          <cell r="W4381">
            <v>3.1800000000000001E-3</v>
          </cell>
          <cell r="Y4381">
            <v>1.12E-2</v>
          </cell>
          <cell r="Z4381">
            <v>-1.804E-2</v>
          </cell>
          <cell r="AA4381">
            <v>-0.15859999999999999</v>
          </cell>
          <cell r="AB4381">
            <v>-0.31085000000000002</v>
          </cell>
          <cell r="AC4381">
            <v>0.10645</v>
          </cell>
          <cell r="AD4381">
            <v>-5.5960000000000003E-2</v>
          </cell>
          <cell r="AE4381">
            <v>-2.5559999999999999E-2</v>
          </cell>
          <cell r="AF4381">
            <v>-1.136E-2</v>
          </cell>
          <cell r="AG4381">
            <v>-2.4840000000000001E-2</v>
          </cell>
          <cell r="AH4381">
            <v>-1.9640000000000001E-2</v>
          </cell>
          <cell r="AI4381">
            <v>-1.5440000000000001E-2</v>
          </cell>
          <cell r="AJ4381">
            <v>-6.4999999999999997E-4</v>
          </cell>
          <cell r="AK4381">
            <v>2.5000000000000001E-3</v>
          </cell>
          <cell r="AL4381">
            <v>1.03E-2</v>
          </cell>
          <cell r="AM4381">
            <v>2.5000000000000001E-4</v>
          </cell>
          <cell r="AN4381">
            <v>-3.9399999999999999E-3</v>
          </cell>
          <cell r="AO4381">
            <v>-3.4869999999999998E-2</v>
          </cell>
          <cell r="AP4381">
            <v>4.1999999999999997E-3</v>
          </cell>
        </row>
        <row r="4382">
          <cell r="D4382" t="str">
            <v>小千谷市</v>
          </cell>
          <cell r="E4382" t="str">
            <v>2030→2035</v>
          </cell>
          <cell r="F4382">
            <v>-4.2930000000000003E-2</v>
          </cell>
          <cell r="G4382">
            <v>-1.409E-2</v>
          </cell>
          <cell r="H4382">
            <v>-0.11854000000000001</v>
          </cell>
          <cell r="I4382">
            <v>-0.28842000000000001</v>
          </cell>
          <cell r="J4382">
            <v>0.19303000000000001</v>
          </cell>
          <cell r="K4382">
            <v>-1.039E-2</v>
          </cell>
          <cell r="L4382">
            <v>2.0200000000000001E-3</v>
          </cell>
          <cell r="M4382">
            <v>-1.307E-2</v>
          </cell>
          <cell r="N4382">
            <v>-9.9900000000000006E-3</v>
          </cell>
          <cell r="O4382">
            <v>-2.197E-2</v>
          </cell>
          <cell r="P4382">
            <v>-2.1839999999999998E-2</v>
          </cell>
          <cell r="Q4382">
            <v>1.3259999999999999E-2</v>
          </cell>
          <cell r="R4382">
            <v>6.6100000000000004E-3</v>
          </cell>
          <cell r="S4382">
            <v>2.3099999999999999E-2</v>
          </cell>
          <cell r="T4382">
            <v>8.5699999999999995E-3</v>
          </cell>
          <cell r="U4382">
            <v>7.3299999999999997E-3</v>
          </cell>
          <cell r="V4382">
            <v>8.4499999999999992E-3</v>
          </cell>
          <cell r="W4382">
            <v>-8.0000000000000007E-5</v>
          </cell>
          <cell r="Y4382">
            <v>1.119E-2</v>
          </cell>
          <cell r="Z4382">
            <v>-1.7860000000000001E-2</v>
          </cell>
          <cell r="AA4382">
            <v>-0.15859999999999999</v>
          </cell>
          <cell r="AB4382">
            <v>-0.31158999999999998</v>
          </cell>
          <cell r="AC4382">
            <v>0.10381</v>
          </cell>
          <cell r="AD4382">
            <v>-5.8380000000000001E-2</v>
          </cell>
          <cell r="AE4382">
            <v>-2.7400000000000001E-2</v>
          </cell>
          <cell r="AF4382">
            <v>-1.1650000000000001E-2</v>
          </cell>
          <cell r="AG4382">
            <v>-2.4760000000000001E-2</v>
          </cell>
          <cell r="AH4382">
            <v>-1.9650000000000001E-2</v>
          </cell>
          <cell r="AI4382">
            <v>-1.508E-2</v>
          </cell>
          <cell r="AJ4382">
            <v>-5.1999999999999995E-4</v>
          </cell>
          <cell r="AK4382">
            <v>2.3400000000000001E-3</v>
          </cell>
          <cell r="AL4382">
            <v>1.042E-2</v>
          </cell>
          <cell r="AM4382">
            <v>4.2000000000000002E-4</v>
          </cell>
          <cell r="AN4382">
            <v>-6.4000000000000003E-3</v>
          </cell>
          <cell r="AO4382">
            <v>-2.955E-2</v>
          </cell>
          <cell r="AP4382">
            <v>1E-3</v>
          </cell>
        </row>
        <row r="4383">
          <cell r="D4383" t="str">
            <v>小千谷市</v>
          </cell>
          <cell r="E4383" t="str">
            <v>2035→2040</v>
          </cell>
          <cell r="F4383">
            <v>-4.2970000000000001E-2</v>
          </cell>
          <cell r="G4383">
            <v>-1.4160000000000001E-2</v>
          </cell>
          <cell r="H4383">
            <v>-0.11862</v>
          </cell>
          <cell r="I4383">
            <v>-0.28874</v>
          </cell>
          <cell r="J4383">
            <v>0.19237000000000001</v>
          </cell>
          <cell r="K4383">
            <v>-1.0699999999999999E-2</v>
          </cell>
          <cell r="L4383">
            <v>-1.17E-3</v>
          </cell>
          <cell r="M4383">
            <v>-1.474E-2</v>
          </cell>
          <cell r="N4383">
            <v>-1.0120000000000001E-2</v>
          </cell>
          <cell r="O4383">
            <v>-2.1839999999999998E-2</v>
          </cell>
          <cell r="P4383">
            <v>-2.1860000000000001E-2</v>
          </cell>
          <cell r="Q4383">
            <v>1.478E-2</v>
          </cell>
          <cell r="R4383">
            <v>5.9899999999999997E-3</v>
          </cell>
          <cell r="S4383">
            <v>2.2769999999999999E-2</v>
          </cell>
          <cell r="T4383">
            <v>7.7400000000000004E-3</v>
          </cell>
          <cell r="U4383">
            <v>8.2799999999999992E-3</v>
          </cell>
          <cell r="V4383">
            <v>2.2699999999999999E-3</v>
          </cell>
          <cell r="W4383">
            <v>9.0900000000000009E-3</v>
          </cell>
          <cell r="Y4383">
            <v>1.108E-2</v>
          </cell>
          <cell r="Z4383">
            <v>-1.7989999999999999E-2</v>
          </cell>
          <cell r="AA4383">
            <v>-0.15859999999999999</v>
          </cell>
          <cell r="AB4383">
            <v>-0.31196000000000002</v>
          </cell>
          <cell r="AC4383">
            <v>0.10255</v>
          </cell>
          <cell r="AD4383">
            <v>-5.9819999999999998E-2</v>
          </cell>
          <cell r="AE4383">
            <v>-2.911E-2</v>
          </cell>
          <cell r="AF4383">
            <v>-1.2749999999999999E-2</v>
          </cell>
          <cell r="AG4383">
            <v>-2.4899999999999999E-2</v>
          </cell>
          <cell r="AH4383">
            <v>-1.951E-2</v>
          </cell>
          <cell r="AI4383">
            <v>-1.5100000000000001E-2</v>
          </cell>
          <cell r="AJ4383">
            <v>1.1E-4</v>
          </cell>
          <cell r="AK4383">
            <v>2.2899999999999999E-3</v>
          </cell>
          <cell r="AL4383">
            <v>9.9000000000000008E-3</v>
          </cell>
          <cell r="AM4383">
            <v>-2.0000000000000002E-5</v>
          </cell>
          <cell r="AN4383">
            <v>-5.8999999999999999E-3</v>
          </cell>
          <cell r="AO4383">
            <v>-3.4049999999999997E-2</v>
          </cell>
          <cell r="AP4383">
            <v>1.074E-2</v>
          </cell>
        </row>
        <row r="4384">
          <cell r="D4384" t="str">
            <v>小千谷市</v>
          </cell>
          <cell r="E4384" t="str">
            <v>2040→2045</v>
          </cell>
          <cell r="F4384">
            <v>-4.3139999999999998E-2</v>
          </cell>
          <cell r="G4384">
            <v>-1.4250000000000001E-2</v>
          </cell>
          <cell r="H4384">
            <v>-0.11883000000000001</v>
          </cell>
          <cell r="I4384">
            <v>-0.28917999999999999</v>
          </cell>
          <cell r="J4384">
            <v>0.19244</v>
          </cell>
          <cell r="K4384">
            <v>-1.125E-2</v>
          </cell>
          <cell r="L4384">
            <v>-1.39E-3</v>
          </cell>
          <cell r="M4384">
            <v>-1.6310000000000002E-2</v>
          </cell>
          <cell r="N4384">
            <v>-1.154E-2</v>
          </cell>
          <cell r="O4384">
            <v>-2.1819999999999999E-2</v>
          </cell>
          <cell r="P4384">
            <v>-2.181E-2</v>
          </cell>
          <cell r="Q4384">
            <v>1.4880000000000001E-2</v>
          </cell>
          <cell r="R4384">
            <v>6.7499999999999999E-3</v>
          </cell>
          <cell r="S4384">
            <v>2.1870000000000001E-2</v>
          </cell>
          <cell r="T4384">
            <v>7.77E-3</v>
          </cell>
          <cell r="U4384">
            <v>7.6499999999999997E-3</v>
          </cell>
          <cell r="V4384">
            <v>4.0200000000000001E-3</v>
          </cell>
          <cell r="W4384">
            <v>-1.158E-2</v>
          </cell>
          <cell r="Y4384">
            <v>1.0710000000000001E-2</v>
          </cell>
          <cell r="Z4384">
            <v>-1.814E-2</v>
          </cell>
          <cell r="AA4384">
            <v>-0.15859999999999999</v>
          </cell>
          <cell r="AB4384">
            <v>-0.31262000000000001</v>
          </cell>
          <cell r="AC4384">
            <v>0.10304000000000001</v>
          </cell>
          <cell r="AD4384">
            <v>-5.9979999999999999E-2</v>
          </cell>
          <cell r="AE4384">
            <v>-2.9960000000000001E-2</v>
          </cell>
          <cell r="AF4384">
            <v>-1.367E-2</v>
          </cell>
          <cell r="AG4384">
            <v>-2.53E-2</v>
          </cell>
          <cell r="AH4384">
            <v>-1.9539999999999998E-2</v>
          </cell>
          <cell r="AI4384">
            <v>-1.4970000000000001E-2</v>
          </cell>
          <cell r="AJ4384">
            <v>1.7000000000000001E-4</v>
          </cell>
          <cell r="AK4384">
            <v>2.9299999999999999E-3</v>
          </cell>
          <cell r="AL4384">
            <v>9.75E-3</v>
          </cell>
          <cell r="AM4384">
            <v>-9.0000000000000006E-5</v>
          </cell>
          <cell r="AN4384">
            <v>-5.9199999999999999E-3</v>
          </cell>
          <cell r="AO4384">
            <v>-3.2989999999999998E-2</v>
          </cell>
          <cell r="AP4384">
            <v>-1.035E-2</v>
          </cell>
        </row>
        <row r="4385">
          <cell r="D4385" t="str">
            <v>加茂市</v>
          </cell>
          <cell r="E4385" t="str">
            <v>2015→2020</v>
          </cell>
          <cell r="F4385">
            <v>-1.54E-2</v>
          </cell>
          <cell r="G4385">
            <v>-4.2999999999999999E-4</v>
          </cell>
          <cell r="H4385">
            <v>-9.0789999999999996E-2</v>
          </cell>
          <cell r="I4385">
            <v>-0.27282000000000001</v>
          </cell>
          <cell r="J4385">
            <v>-3.3439999999999998E-2</v>
          </cell>
          <cell r="K4385">
            <v>-4.2410000000000003E-2</v>
          </cell>
          <cell r="L4385">
            <v>3.5699999999999998E-3</v>
          </cell>
          <cell r="M4385">
            <v>7.62E-3</v>
          </cell>
          <cell r="N4385">
            <v>-1.3990000000000001E-2</v>
          </cell>
          <cell r="O4385">
            <v>-5.8999999999999999E-3</v>
          </cell>
          <cell r="P4385">
            <v>5.9100000000000003E-3</v>
          </cell>
          <cell r="Q4385">
            <v>-1.74E-3</v>
          </cell>
          <cell r="R4385">
            <v>-2.5200000000000001E-3</v>
          </cell>
          <cell r="S4385">
            <v>5.8199999999999997E-3</v>
          </cell>
          <cell r="T4385">
            <v>-2.308E-2</v>
          </cell>
          <cell r="U4385">
            <v>-3.007E-2</v>
          </cell>
          <cell r="V4385">
            <v>-4.7940000000000003E-2</v>
          </cell>
          <cell r="W4385">
            <v>7.9000000000000008E-3</v>
          </cell>
          <cell r="Y4385">
            <v>1.5699999999999999E-2</v>
          </cell>
          <cell r="Z4385">
            <v>-3.5500000000000002E-3</v>
          </cell>
          <cell r="AA4385">
            <v>-6.0159999999999998E-2</v>
          </cell>
          <cell r="AB4385">
            <v>-0.2482</v>
          </cell>
          <cell r="AC4385">
            <v>-9.2649999999999996E-2</v>
          </cell>
          <cell r="AD4385">
            <v>-2.2069999999999999E-2</v>
          </cell>
          <cell r="AE4385">
            <v>-2.4330000000000001E-2</v>
          </cell>
          <cell r="AF4385">
            <v>-2.0629999999999999E-2</v>
          </cell>
          <cell r="AG4385">
            <v>4.2999999999999999E-4</v>
          </cell>
          <cell r="AH4385">
            <v>-2.2200000000000001E-2</v>
          </cell>
          <cell r="AI4385">
            <v>1.7899999999999999E-3</v>
          </cell>
          <cell r="AJ4385">
            <v>-3.5699999999999998E-3</v>
          </cell>
          <cell r="AK4385">
            <v>1.1900000000000001E-3</v>
          </cell>
          <cell r="AL4385">
            <v>-8.7200000000000003E-3</v>
          </cell>
          <cell r="AM4385">
            <v>-1.7059999999999999E-2</v>
          </cell>
          <cell r="AN4385">
            <v>-3.7510000000000002E-2</v>
          </cell>
          <cell r="AO4385">
            <v>-2.0310000000000002E-2</v>
          </cell>
          <cell r="AP4385">
            <v>-1.511E-2</v>
          </cell>
        </row>
        <row r="4386">
          <cell r="D4386" t="str">
            <v>加茂市</v>
          </cell>
          <cell r="E4386" t="str">
            <v>2020→2025</v>
          </cell>
          <cell r="F4386">
            <v>-1.397E-2</v>
          </cell>
          <cell r="G4386">
            <v>4.4999999999999999E-4</v>
          </cell>
          <cell r="H4386">
            <v>-9.0999999999999998E-2</v>
          </cell>
          <cell r="I4386">
            <v>-0.27353</v>
          </cell>
          <cell r="J4386">
            <v>-3.5090000000000003E-2</v>
          </cell>
          <cell r="K4386">
            <v>-4.0590000000000001E-2</v>
          </cell>
          <cell r="L4386">
            <v>6.3200000000000001E-3</v>
          </cell>
          <cell r="M4386">
            <v>1.3100000000000001E-2</v>
          </cell>
          <cell r="N4386">
            <v>-1.1480000000000001E-2</v>
          </cell>
          <cell r="O4386">
            <v>-5.5500000000000002E-3</v>
          </cell>
          <cell r="P4386">
            <v>6.1500000000000001E-3</v>
          </cell>
          <cell r="Q4386">
            <v>-1.56E-3</v>
          </cell>
          <cell r="R4386">
            <v>-1.6199999999999999E-3</v>
          </cell>
          <cell r="S4386">
            <v>3.98E-3</v>
          </cell>
          <cell r="T4386">
            <v>-2.0629999999999999E-2</v>
          </cell>
          <cell r="U4386">
            <v>-3.1710000000000002E-2</v>
          </cell>
          <cell r="V4386">
            <v>-4.9709999999999997E-2</v>
          </cell>
          <cell r="W4386">
            <v>1.6800000000000001E-3</v>
          </cell>
          <cell r="Y4386">
            <v>1.7170000000000001E-2</v>
          </cell>
          <cell r="Z4386">
            <v>-2.6900000000000001E-3</v>
          </cell>
          <cell r="AA4386">
            <v>-6.0290000000000003E-2</v>
          </cell>
          <cell r="AB4386">
            <v>-0.24915000000000001</v>
          </cell>
          <cell r="AC4386">
            <v>-9.6640000000000004E-2</v>
          </cell>
          <cell r="AD4386">
            <v>-1.908E-2</v>
          </cell>
          <cell r="AE4386">
            <v>-2.0920000000000001E-2</v>
          </cell>
          <cell r="AF4386">
            <v>-1.8120000000000001E-2</v>
          </cell>
          <cell r="AG4386">
            <v>3.0799999999999998E-3</v>
          </cell>
          <cell r="AH4386">
            <v>-2.2040000000000001E-2</v>
          </cell>
          <cell r="AI4386">
            <v>1.7899999999999999E-3</v>
          </cell>
          <cell r="AJ4386">
            <v>-3.2200000000000002E-3</v>
          </cell>
          <cell r="AK4386">
            <v>8.3000000000000001E-4</v>
          </cell>
          <cell r="AL4386">
            <v>-9.0500000000000008E-3</v>
          </cell>
          <cell r="AM4386">
            <v>-1.5339999999999999E-2</v>
          </cell>
          <cell r="AN4386">
            <v>-3.805E-2</v>
          </cell>
          <cell r="AO4386">
            <v>-2.2290000000000001E-2</v>
          </cell>
          <cell r="AP4386">
            <v>-2.112E-2</v>
          </cell>
        </row>
        <row r="4387">
          <cell r="D4387" t="str">
            <v>加茂市</v>
          </cell>
          <cell r="E4387" t="str">
            <v>2025→2030</v>
          </cell>
          <cell r="F4387">
            <v>-1.278E-2</v>
          </cell>
          <cell r="G4387">
            <v>7.2000000000000005E-4</v>
          </cell>
          <cell r="H4387">
            <v>-9.0920000000000001E-2</v>
          </cell>
          <cell r="I4387">
            <v>-0.27382000000000001</v>
          </cell>
          <cell r="J4387">
            <v>-3.875E-2</v>
          </cell>
          <cell r="K4387">
            <v>-4.3229999999999998E-2</v>
          </cell>
          <cell r="L4387">
            <v>6.6699999999999997E-3</v>
          </cell>
          <cell r="M4387">
            <v>1.397E-2</v>
          </cell>
          <cell r="N4387">
            <v>-1.149E-2</v>
          </cell>
          <cell r="O4387">
            <v>-4.1200000000000004E-3</v>
          </cell>
          <cell r="P4387">
            <v>6.2100000000000002E-3</v>
          </cell>
          <cell r="Q4387">
            <v>-1.1800000000000001E-3</v>
          </cell>
          <cell r="R4387">
            <v>-1.14E-3</v>
          </cell>
          <cell r="S4387">
            <v>4.7999999999999996E-3</v>
          </cell>
          <cell r="T4387">
            <v>-2.351E-2</v>
          </cell>
          <cell r="U4387">
            <v>-2.7320000000000001E-2</v>
          </cell>
          <cell r="V4387">
            <v>-5.237E-2</v>
          </cell>
          <cell r="W4387">
            <v>-4.8900000000000002E-3</v>
          </cell>
          <cell r="Y4387">
            <v>1.831E-2</v>
          </cell>
          <cell r="Z4387">
            <v>-2.4199999999999998E-3</v>
          </cell>
          <cell r="AA4387">
            <v>-6.0350000000000001E-2</v>
          </cell>
          <cell r="AB4387">
            <v>-0.24956999999999999</v>
          </cell>
          <cell r="AC4387">
            <v>-9.9589999999999998E-2</v>
          </cell>
          <cell r="AD4387">
            <v>-2.3910000000000001E-2</v>
          </cell>
          <cell r="AE4387">
            <v>-2.0209999999999999E-2</v>
          </cell>
          <cell r="AF4387">
            <v>-1.6969999999999999E-2</v>
          </cell>
          <cell r="AG4387">
            <v>3.2299999999999998E-3</v>
          </cell>
          <cell r="AH4387">
            <v>-2.1559999999999999E-2</v>
          </cell>
          <cell r="AI4387">
            <v>2.0999999999999999E-3</v>
          </cell>
          <cell r="AJ4387">
            <v>-3.14E-3</v>
          </cell>
          <cell r="AK4387">
            <v>1.4599999999999999E-3</v>
          </cell>
          <cell r="AL4387">
            <v>-9.2999999999999992E-3</v>
          </cell>
          <cell r="AM4387">
            <v>-1.6469999999999999E-2</v>
          </cell>
          <cell r="AN4387">
            <v>-3.5459999999999998E-2</v>
          </cell>
          <cell r="AO4387">
            <v>-2.6849999999999999E-2</v>
          </cell>
          <cell r="AP4387">
            <v>-2.972E-2</v>
          </cell>
        </row>
        <row r="4388">
          <cell r="D4388" t="str">
            <v>加茂市</v>
          </cell>
          <cell r="E4388" t="str">
            <v>2030→2035</v>
          </cell>
          <cell r="F4388">
            <v>-1.24E-2</v>
          </cell>
          <cell r="G4388">
            <v>1.01E-3</v>
          </cell>
          <cell r="H4388">
            <v>-9.0990000000000001E-2</v>
          </cell>
          <cell r="I4388">
            <v>-0.27379999999999999</v>
          </cell>
          <cell r="J4388">
            <v>-3.8199999999999998E-2</v>
          </cell>
          <cell r="K4388">
            <v>-4.6559999999999997E-2</v>
          </cell>
          <cell r="L4388">
            <v>3.82E-3</v>
          </cell>
          <cell r="M4388">
            <v>1.388E-2</v>
          </cell>
          <cell r="N4388">
            <v>-1.111E-2</v>
          </cell>
          <cell r="O4388">
            <v>-4.13E-3</v>
          </cell>
          <cell r="P4388">
            <v>7.5199999999999998E-3</v>
          </cell>
          <cell r="Q4388">
            <v>-1.32E-3</v>
          </cell>
          <cell r="R4388">
            <v>-7.7999999999999999E-4</v>
          </cell>
          <cell r="S4388">
            <v>5.47E-3</v>
          </cell>
          <cell r="T4388">
            <v>-2.274E-2</v>
          </cell>
          <cell r="U4388">
            <v>-3.2320000000000002E-2</v>
          </cell>
          <cell r="V4388">
            <v>-4.6039999999999998E-2</v>
          </cell>
          <cell r="W4388">
            <v>-8.3000000000000001E-3</v>
          </cell>
          <cell r="Y4388">
            <v>1.866E-2</v>
          </cell>
          <cell r="Z4388">
            <v>-2.0999999999999999E-3</v>
          </cell>
          <cell r="AA4388">
            <v>-6.0429999999999998E-2</v>
          </cell>
          <cell r="AB4388">
            <v>-0.24984000000000001</v>
          </cell>
          <cell r="AC4388">
            <v>-9.9159999999999998E-2</v>
          </cell>
          <cell r="AD4388">
            <v>-2.7470000000000001E-2</v>
          </cell>
          <cell r="AE4388">
            <v>-2.3359999999999999E-2</v>
          </cell>
          <cell r="AF4388">
            <v>-1.7000000000000001E-2</v>
          </cell>
          <cell r="AG4388">
            <v>3.8300000000000001E-3</v>
          </cell>
          <cell r="AH4388">
            <v>-2.154E-2</v>
          </cell>
          <cell r="AI4388">
            <v>2.7799999999999999E-3</v>
          </cell>
          <cell r="AJ4388">
            <v>-2.9299999999999999E-3</v>
          </cell>
          <cell r="AK4388">
            <v>1.32E-3</v>
          </cell>
          <cell r="AL4388">
            <v>-8.7200000000000003E-3</v>
          </cell>
          <cell r="AM4388">
            <v>-1.6250000000000001E-2</v>
          </cell>
          <cell r="AN4388">
            <v>-3.8550000000000001E-2</v>
          </cell>
          <cell r="AO4388">
            <v>-1.865E-2</v>
          </cell>
          <cell r="AP4388">
            <v>-3.2599999999999997E-2</v>
          </cell>
        </row>
        <row r="4389">
          <cell r="D4389" t="str">
            <v>加茂市</v>
          </cell>
          <cell r="E4389" t="str">
            <v>2035→2040</v>
          </cell>
          <cell r="F4389">
            <v>-1.218E-2</v>
          </cell>
          <cell r="G4389">
            <v>1.01E-3</v>
          </cell>
          <cell r="H4389">
            <v>-9.1090000000000004E-2</v>
          </cell>
          <cell r="I4389">
            <v>-0.27395000000000003</v>
          </cell>
          <cell r="J4389">
            <v>-3.662E-2</v>
          </cell>
          <cell r="K4389">
            <v>-4.7E-2</v>
          </cell>
          <cell r="L4389">
            <v>4.4999999999999999E-4</v>
          </cell>
          <cell r="M4389">
            <v>1.184E-2</v>
          </cell>
          <cell r="N4389">
            <v>-1.1220000000000001E-2</v>
          </cell>
          <cell r="O4389">
            <v>-3.79E-3</v>
          </cell>
          <cell r="P4389">
            <v>7.4999999999999997E-3</v>
          </cell>
          <cell r="Q4389">
            <v>-3.6999999999999999E-4</v>
          </cell>
          <cell r="R4389">
            <v>-1.24E-3</v>
          </cell>
          <cell r="S4389">
            <v>5.5399999999999998E-3</v>
          </cell>
          <cell r="T4389">
            <v>-2.2329999999999999E-2</v>
          </cell>
          <cell r="U4389">
            <v>-3.0880000000000001E-2</v>
          </cell>
          <cell r="V4389">
            <v>-5.1999999999999998E-2</v>
          </cell>
          <cell r="W4389">
            <v>8.8999999999999995E-4</v>
          </cell>
          <cell r="Y4389">
            <v>1.883E-2</v>
          </cell>
          <cell r="Z4389">
            <v>-2.1199999999999999E-3</v>
          </cell>
          <cell r="AA4389">
            <v>-6.0589999999999998E-2</v>
          </cell>
          <cell r="AB4389">
            <v>-0.25009999999999999</v>
          </cell>
          <cell r="AC4389">
            <v>-9.8799999999999999E-2</v>
          </cell>
          <cell r="AD4389">
            <v>-2.7480000000000001E-2</v>
          </cell>
          <cell r="AE4389">
            <v>-2.5850000000000001E-2</v>
          </cell>
          <cell r="AF4389">
            <v>-1.883E-2</v>
          </cell>
          <cell r="AG4389">
            <v>3.6700000000000001E-3</v>
          </cell>
          <cell r="AH4389">
            <v>-2.1360000000000001E-2</v>
          </cell>
          <cell r="AI4389">
            <v>2.8E-3</v>
          </cell>
          <cell r="AJ4389">
            <v>-2.3999999999999998E-3</v>
          </cell>
          <cell r="AK4389">
            <v>1.39E-3</v>
          </cell>
          <cell r="AL4389">
            <v>-8.9599999999999992E-3</v>
          </cell>
          <cell r="AM4389">
            <v>-1.6299999999999999E-2</v>
          </cell>
          <cell r="AN4389">
            <v>-3.7690000000000001E-2</v>
          </cell>
          <cell r="AO4389">
            <v>-2.0279999999999999E-2</v>
          </cell>
          <cell r="AP4389">
            <v>-2.3189999999999999E-2</v>
          </cell>
        </row>
        <row r="4390">
          <cell r="D4390" t="str">
            <v>加茂市</v>
          </cell>
          <cell r="E4390" t="str">
            <v>2040→2045</v>
          </cell>
          <cell r="F4390">
            <v>-1.231E-2</v>
          </cell>
          <cell r="G4390">
            <v>9.6000000000000002E-4</v>
          </cell>
          <cell r="H4390">
            <v>-9.1429999999999997E-2</v>
          </cell>
          <cell r="I4390">
            <v>-0.27418999999999999</v>
          </cell>
          <cell r="J4390">
            <v>-3.6240000000000001E-2</v>
          </cell>
          <cell r="K4390">
            <v>-4.607E-2</v>
          </cell>
          <cell r="L4390">
            <v>-6.0000000000000002E-5</v>
          </cell>
          <cell r="M4390">
            <v>9.6500000000000006E-3</v>
          </cell>
          <cell r="N4390">
            <v>-1.2290000000000001E-2</v>
          </cell>
          <cell r="O4390">
            <v>-3.79E-3</v>
          </cell>
          <cell r="P4390">
            <v>7.8799999999999999E-3</v>
          </cell>
          <cell r="Q4390">
            <v>-2.7E-4</v>
          </cell>
          <cell r="R4390">
            <v>-4.4999999999999999E-4</v>
          </cell>
          <cell r="S4390">
            <v>4.8799999999999998E-3</v>
          </cell>
          <cell r="T4390">
            <v>-2.197E-2</v>
          </cell>
          <cell r="U4390">
            <v>-3.0190000000000002E-2</v>
          </cell>
          <cell r="V4390">
            <v>-5.0160000000000003E-2</v>
          </cell>
          <cell r="W4390">
            <v>-1.6820000000000002E-2</v>
          </cell>
          <cell r="Y4390">
            <v>1.8669999999999999E-2</v>
          </cell>
          <cell r="Z4390">
            <v>-2.2000000000000001E-3</v>
          </cell>
          <cell r="AA4390">
            <v>-6.0990000000000003E-2</v>
          </cell>
          <cell r="AB4390">
            <v>-0.25058999999999998</v>
          </cell>
          <cell r="AC4390">
            <v>-9.8519999999999996E-2</v>
          </cell>
          <cell r="AD4390">
            <v>-2.6620000000000001E-2</v>
          </cell>
          <cell r="AE4390">
            <v>-2.5899999999999999E-2</v>
          </cell>
          <cell r="AF4390">
            <v>-2.019E-2</v>
          </cell>
          <cell r="AG4390">
            <v>2.3999999999999998E-3</v>
          </cell>
          <cell r="AH4390">
            <v>-2.1319999999999999E-2</v>
          </cell>
          <cell r="AI4390">
            <v>3.1900000000000001E-3</v>
          </cell>
          <cell r="AJ4390">
            <v>-2.32E-3</v>
          </cell>
          <cell r="AK4390">
            <v>2.0600000000000002E-3</v>
          </cell>
          <cell r="AL4390">
            <v>-9.1000000000000004E-3</v>
          </cell>
          <cell r="AM4390">
            <v>-1.6250000000000001E-2</v>
          </cell>
          <cell r="AN4390">
            <v>-3.7130000000000003E-2</v>
          </cell>
          <cell r="AO4390">
            <v>-2.1090000000000001E-2</v>
          </cell>
          <cell r="AP4390">
            <v>-4.1680000000000002E-2</v>
          </cell>
        </row>
        <row r="4391">
          <cell r="D4391" t="str">
            <v>十日町市</v>
          </cell>
          <cell r="E4391" t="str">
            <v>2015→2020</v>
          </cell>
          <cell r="F4391">
            <v>-1.3559999999999999E-2</v>
          </cell>
          <cell r="G4391">
            <v>-1.5949999999999999E-2</v>
          </cell>
          <cell r="H4391">
            <v>-0.20843999999999999</v>
          </cell>
          <cell r="I4391">
            <v>-0.39312999999999998</v>
          </cell>
          <cell r="J4391">
            <v>0.33844999999999997</v>
          </cell>
          <cell r="K4391">
            <v>2.1850000000000001E-2</v>
          </cell>
          <cell r="L4391">
            <v>-2.1919999999999999E-2</v>
          </cell>
          <cell r="M4391">
            <v>-2.6199999999999999E-3</v>
          </cell>
          <cell r="N4391">
            <v>-2.3400000000000001E-2</v>
          </cell>
          <cell r="O4391">
            <v>9.7000000000000003E-3</v>
          </cell>
          <cell r="P4391">
            <v>-4.1900000000000001E-3</v>
          </cell>
          <cell r="Q4391">
            <v>-8.1600000000000006E-3</v>
          </cell>
          <cell r="R4391">
            <v>-6.3899999999999998E-3</v>
          </cell>
          <cell r="S4391">
            <v>-3.5E-4</v>
          </cell>
          <cell r="T4391">
            <v>-3.0699999999999998E-3</v>
          </cell>
          <cell r="U4391">
            <v>1.9910000000000001E-2</v>
          </cell>
          <cell r="V4391">
            <v>-1.321E-2</v>
          </cell>
          <cell r="W4391">
            <v>2.393E-2</v>
          </cell>
          <cell r="Y4391">
            <v>-2.8250000000000001E-2</v>
          </cell>
          <cell r="Z4391">
            <v>-1.4710000000000001E-2</v>
          </cell>
          <cell r="AA4391">
            <v>-0.20744000000000001</v>
          </cell>
          <cell r="AB4391">
            <v>-0.39742</v>
          </cell>
          <cell r="AC4391">
            <v>0.28277999999999998</v>
          </cell>
          <cell r="AD4391">
            <v>6.5799999999999997E-2</v>
          </cell>
          <cell r="AE4391">
            <v>-7.9600000000000001E-3</v>
          </cell>
          <cell r="AF4391">
            <v>-1.093E-2</v>
          </cell>
          <cell r="AG4391">
            <v>-9.1199999999999996E-3</v>
          </cell>
          <cell r="AH4391">
            <v>-1.0070000000000001E-2</v>
          </cell>
          <cell r="AI4391">
            <v>-2.2120000000000001E-2</v>
          </cell>
          <cell r="AJ4391">
            <v>-6.1399999999999996E-3</v>
          </cell>
          <cell r="AK4391">
            <v>-1.1390000000000001E-2</v>
          </cell>
          <cell r="AL4391">
            <v>-9.92E-3</v>
          </cell>
          <cell r="AM4391">
            <v>-2.7E-4</v>
          </cell>
          <cell r="AN4391">
            <v>-2.349E-2</v>
          </cell>
          <cell r="AO4391">
            <v>-1.6719999999999999E-2</v>
          </cell>
          <cell r="AP4391">
            <v>5.8549999999999998E-2</v>
          </cell>
        </row>
        <row r="4392">
          <cell r="D4392" t="str">
            <v>十日町市</v>
          </cell>
          <cell r="E4392" t="str">
            <v>2020→2025</v>
          </cell>
          <cell r="F4392">
            <v>-1.238E-2</v>
          </cell>
          <cell r="G4392">
            <v>-1.532E-2</v>
          </cell>
          <cell r="H4392">
            <v>-0.20843999999999999</v>
          </cell>
          <cell r="I4392">
            <v>-0.39351999999999998</v>
          </cell>
          <cell r="J4392">
            <v>0.35504999999999998</v>
          </cell>
          <cell r="K4392">
            <v>2.4979999999999999E-2</v>
          </cell>
          <cell r="L4392">
            <v>-2.0369999999999999E-2</v>
          </cell>
          <cell r="M4392">
            <v>-1.2E-4</v>
          </cell>
          <cell r="N4392">
            <v>-2.137E-2</v>
          </cell>
          <cell r="O4392">
            <v>9.7300000000000008E-3</v>
          </cell>
          <cell r="P4392">
            <v>-3.6600000000000001E-3</v>
          </cell>
          <cell r="Q4392">
            <v>-7.6699999999999997E-3</v>
          </cell>
          <cell r="R4392">
            <v>-5.0600000000000003E-3</v>
          </cell>
          <cell r="S4392">
            <v>-2.5300000000000001E-3</v>
          </cell>
          <cell r="T4392">
            <v>1.2999999999999999E-4</v>
          </cell>
          <cell r="U4392">
            <v>1.7270000000000001E-2</v>
          </cell>
          <cell r="V4392">
            <v>-1.4919999999999999E-2</v>
          </cell>
          <cell r="W4392">
            <v>1.6990000000000002E-2</v>
          </cell>
          <cell r="Y4392">
            <v>-2.682E-2</v>
          </cell>
          <cell r="Z4392">
            <v>-1.4069999999999999E-2</v>
          </cell>
          <cell r="AA4392">
            <v>-0.20744000000000001</v>
          </cell>
          <cell r="AB4392">
            <v>-0.39794000000000002</v>
          </cell>
          <cell r="AC4392">
            <v>0.29193000000000002</v>
          </cell>
          <cell r="AD4392">
            <v>7.1349999999999997E-2</v>
          </cell>
          <cell r="AE4392">
            <v>-4.7999999999999996E-3</v>
          </cell>
          <cell r="AF4392">
            <v>-9.4900000000000002E-3</v>
          </cell>
          <cell r="AG4392">
            <v>-7.7299999999999999E-3</v>
          </cell>
          <cell r="AH4392">
            <v>-9.92E-3</v>
          </cell>
          <cell r="AI4392">
            <v>-2.2040000000000001E-2</v>
          </cell>
          <cell r="AJ4392">
            <v>-5.7600000000000004E-3</v>
          </cell>
          <cell r="AK4392">
            <v>-1.0619999999999999E-2</v>
          </cell>
          <cell r="AL4392">
            <v>-1.1180000000000001E-2</v>
          </cell>
          <cell r="AM4392">
            <v>1.81E-3</v>
          </cell>
          <cell r="AN4392">
            <v>-2.4230000000000002E-2</v>
          </cell>
          <cell r="AO4392">
            <v>-1.7840000000000002E-2</v>
          </cell>
          <cell r="AP4392">
            <v>5.1470000000000002E-2</v>
          </cell>
        </row>
        <row r="4393">
          <cell r="D4393" t="str">
            <v>十日町市</v>
          </cell>
          <cell r="E4393" t="str">
            <v>2025→2030</v>
          </cell>
          <cell r="F4393">
            <v>-1.123E-2</v>
          </cell>
          <cell r="G4393">
            <v>-1.5089999999999999E-2</v>
          </cell>
          <cell r="H4393">
            <v>-0.20843999999999999</v>
          </cell>
          <cell r="I4393">
            <v>-0.39362000000000003</v>
          </cell>
          <cell r="J4393">
            <v>0.35115000000000002</v>
          </cell>
          <cell r="K4393">
            <v>2.4049999999999998E-2</v>
          </cell>
          <cell r="L4393">
            <v>-1.958E-2</v>
          </cell>
          <cell r="M4393">
            <v>3.6000000000000002E-4</v>
          </cell>
          <cell r="N4393">
            <v>-2.1049999999999999E-2</v>
          </cell>
          <cell r="O4393">
            <v>1.163E-2</v>
          </cell>
          <cell r="P4393">
            <v>-3.8800000000000002E-3</v>
          </cell>
          <cell r="Q4393">
            <v>-7.26E-3</v>
          </cell>
          <cell r="R4393">
            <v>-4.6600000000000001E-3</v>
          </cell>
          <cell r="S4393">
            <v>-8.4999999999999995E-4</v>
          </cell>
          <cell r="T4393">
            <v>-2.0500000000000002E-3</v>
          </cell>
          <cell r="U4393">
            <v>2.317E-2</v>
          </cell>
          <cell r="V4393">
            <v>-1.8339999999999999E-2</v>
          </cell>
          <cell r="W4393">
            <v>9.5099999999999994E-3</v>
          </cell>
          <cell r="Y4393">
            <v>-2.5510000000000001E-2</v>
          </cell>
          <cell r="Z4393">
            <v>-1.383E-2</v>
          </cell>
          <cell r="AA4393">
            <v>-0.20744000000000001</v>
          </cell>
          <cell r="AB4393">
            <v>-0.39812999999999998</v>
          </cell>
          <cell r="AC4393">
            <v>0.28935</v>
          </cell>
          <cell r="AD4393">
            <v>6.9529999999999995E-2</v>
          </cell>
          <cell r="AE4393">
            <v>-3.1800000000000001E-3</v>
          </cell>
          <cell r="AF4393">
            <v>-8.6400000000000001E-3</v>
          </cell>
          <cell r="AG4393">
            <v>-7.4400000000000004E-3</v>
          </cell>
          <cell r="AH4393">
            <v>-9.3100000000000006E-3</v>
          </cell>
          <cell r="AI4393">
            <v>-2.1999999999999999E-2</v>
          </cell>
          <cell r="AJ4393">
            <v>-5.4299999999999999E-3</v>
          </cell>
          <cell r="AK4393">
            <v>-1.0529999999999999E-2</v>
          </cell>
          <cell r="AL4393">
            <v>-9.8899999999999995E-3</v>
          </cell>
          <cell r="AM4393">
            <v>1.2600000000000001E-3</v>
          </cell>
          <cell r="AN4393">
            <v>-2.137E-2</v>
          </cell>
          <cell r="AO4393">
            <v>-1.9869999999999999E-2</v>
          </cell>
          <cell r="AP4393">
            <v>4.1450000000000001E-2</v>
          </cell>
        </row>
        <row r="4394">
          <cell r="D4394" t="str">
            <v>十日町市</v>
          </cell>
          <cell r="E4394" t="str">
            <v>2030→2035</v>
          </cell>
          <cell r="F4394">
            <v>-1.051E-2</v>
          </cell>
          <cell r="G4394">
            <v>-1.4789999999999999E-2</v>
          </cell>
          <cell r="H4394">
            <v>-0.20843999999999999</v>
          </cell>
          <cell r="I4394">
            <v>-0.39355000000000001</v>
          </cell>
          <cell r="J4394">
            <v>0.35679</v>
          </cell>
          <cell r="K4394">
            <v>2.2239999999999999E-2</v>
          </cell>
          <cell r="L4394">
            <v>-2.0480000000000002E-2</v>
          </cell>
          <cell r="M4394">
            <v>7.3999999999999999E-4</v>
          </cell>
          <cell r="N4394">
            <v>-2.085E-2</v>
          </cell>
          <cell r="O4394">
            <v>1.2030000000000001E-2</v>
          </cell>
          <cell r="P4394">
            <v>-3.1199999999999999E-3</v>
          </cell>
          <cell r="Q4394">
            <v>-7.4799999999999997E-3</v>
          </cell>
          <cell r="R4394">
            <v>-4.1700000000000001E-3</v>
          </cell>
          <cell r="S4394">
            <v>-7.7999999999999999E-4</v>
          </cell>
          <cell r="T4394">
            <v>-1.3500000000000001E-3</v>
          </cell>
          <cell r="U4394">
            <v>1.9300000000000001E-2</v>
          </cell>
          <cell r="V4394">
            <v>-1.057E-2</v>
          </cell>
          <cell r="W4394">
            <v>6.0099999999999997E-3</v>
          </cell>
          <cell r="Y4394">
            <v>-2.47E-2</v>
          </cell>
          <cell r="Z4394">
            <v>-1.3520000000000001E-2</v>
          </cell>
          <cell r="AA4394">
            <v>-0.20744000000000001</v>
          </cell>
          <cell r="AB4394">
            <v>-0.39815</v>
          </cell>
          <cell r="AC4394">
            <v>0.29344999999999999</v>
          </cell>
          <cell r="AD4394">
            <v>6.7890000000000006E-2</v>
          </cell>
          <cell r="AE4394">
            <v>-4.2900000000000004E-3</v>
          </cell>
          <cell r="AF4394">
            <v>-8.2699999999999996E-3</v>
          </cell>
          <cell r="AG4394">
            <v>-7.0800000000000004E-3</v>
          </cell>
          <cell r="AH4394">
            <v>-9.1299999999999992E-3</v>
          </cell>
          <cell r="AI4394">
            <v>-2.1909999999999999E-2</v>
          </cell>
          <cell r="AJ4394">
            <v>-5.3200000000000001E-3</v>
          </cell>
          <cell r="AK4394">
            <v>-1.04E-2</v>
          </cell>
          <cell r="AL4394">
            <v>-1.0030000000000001E-2</v>
          </cell>
          <cell r="AM4394">
            <v>1.3799999999999999E-3</v>
          </cell>
          <cell r="AN4394">
            <v>-2.4219999999999998E-2</v>
          </cell>
          <cell r="AO4394">
            <v>-1.423E-2</v>
          </cell>
          <cell r="AP4394">
            <v>3.8550000000000001E-2</v>
          </cell>
        </row>
        <row r="4395">
          <cell r="D4395" t="str">
            <v>十日町市</v>
          </cell>
          <cell r="E4395" t="str">
            <v>2035→2040</v>
          </cell>
          <cell r="F4395">
            <v>-9.9000000000000008E-3</v>
          </cell>
          <cell r="G4395">
            <v>-1.464E-2</v>
          </cell>
          <cell r="H4395">
            <v>-0.20843999999999999</v>
          </cell>
          <cell r="I4395">
            <v>-0.39360000000000001</v>
          </cell>
          <cell r="J4395">
            <v>0.36288999999999999</v>
          </cell>
          <cell r="K4395">
            <v>2.3380000000000001E-2</v>
          </cell>
          <cell r="L4395">
            <v>-2.171E-2</v>
          </cell>
          <cell r="M4395">
            <v>-2.2000000000000001E-4</v>
          </cell>
          <cell r="N4395">
            <v>-2.0729999999999998E-2</v>
          </cell>
          <cell r="O4395">
            <v>1.2370000000000001E-2</v>
          </cell>
          <cell r="P4395">
            <v>-2.9399999999999999E-3</v>
          </cell>
          <cell r="Q4395">
            <v>-7.0699999999999999E-3</v>
          </cell>
          <cell r="R4395">
            <v>-4.7699999999999999E-3</v>
          </cell>
          <cell r="S4395">
            <v>-4.6000000000000001E-4</v>
          </cell>
          <cell r="T4395">
            <v>-1.23E-3</v>
          </cell>
          <cell r="U4395">
            <v>2.0580000000000001E-2</v>
          </cell>
          <cell r="V4395">
            <v>-1.6830000000000001E-2</v>
          </cell>
          <cell r="W4395">
            <v>1.6240000000000001E-2</v>
          </cell>
          <cell r="Y4395">
            <v>-2.4039999999999999E-2</v>
          </cell>
          <cell r="Z4395">
            <v>-1.338E-2</v>
          </cell>
          <cell r="AA4395">
            <v>-0.20744000000000001</v>
          </cell>
          <cell r="AB4395">
            <v>-0.39822999999999997</v>
          </cell>
          <cell r="AC4395">
            <v>0.29762</v>
          </cell>
          <cell r="AD4395">
            <v>6.9790000000000005E-2</v>
          </cell>
          <cell r="AE4395">
            <v>-5.28E-3</v>
          </cell>
          <cell r="AF4395">
            <v>-8.8900000000000003E-3</v>
          </cell>
          <cell r="AG4395">
            <v>-6.9499999999999996E-3</v>
          </cell>
          <cell r="AH4395">
            <v>-8.8500000000000002E-3</v>
          </cell>
          <cell r="AI4395">
            <v>-2.188E-2</v>
          </cell>
          <cell r="AJ4395">
            <v>-4.9800000000000001E-3</v>
          </cell>
          <cell r="AK4395">
            <v>-1.052E-2</v>
          </cell>
          <cell r="AL4395">
            <v>-9.9799999999999993E-3</v>
          </cell>
          <cell r="AM4395">
            <v>1.1900000000000001E-3</v>
          </cell>
          <cell r="AN4395">
            <v>-2.3460000000000002E-2</v>
          </cell>
          <cell r="AO4395">
            <v>-1.8960000000000001E-2</v>
          </cell>
          <cell r="AP4395">
            <v>4.9599999999999998E-2</v>
          </cell>
        </row>
        <row r="4396">
          <cell r="D4396" t="str">
            <v>十日町市</v>
          </cell>
          <cell r="E4396" t="str">
            <v>2040→2045</v>
          </cell>
          <cell r="F4396">
            <v>-9.4900000000000002E-3</v>
          </cell>
          <cell r="G4396">
            <v>-1.4540000000000001E-2</v>
          </cell>
          <cell r="H4396">
            <v>-0.20843999999999999</v>
          </cell>
          <cell r="I4396">
            <v>-0.39369999999999999</v>
          </cell>
          <cell r="J4396">
            <v>0.36577999999999999</v>
          </cell>
          <cell r="K4396">
            <v>2.5260000000000001E-2</v>
          </cell>
          <cell r="L4396">
            <v>-2.1180000000000001E-2</v>
          </cell>
          <cell r="M4396">
            <v>-1.32E-3</v>
          </cell>
          <cell r="N4396">
            <v>-2.1270000000000001E-2</v>
          </cell>
          <cell r="O4396">
            <v>1.2699999999999999E-2</v>
          </cell>
          <cell r="P4396">
            <v>-2.7599999999999999E-3</v>
          </cell>
          <cell r="Q4396">
            <v>-6.9100000000000003E-3</v>
          </cell>
          <cell r="R4396">
            <v>-4.4600000000000004E-3</v>
          </cell>
          <cell r="S4396">
            <v>-1.25E-3</v>
          </cell>
          <cell r="T4396">
            <v>-7.9000000000000001E-4</v>
          </cell>
          <cell r="U4396">
            <v>2.078E-2</v>
          </cell>
          <cell r="V4396">
            <v>-1.469E-2</v>
          </cell>
          <cell r="W4396">
            <v>-5.2100000000000002E-3</v>
          </cell>
          <cell r="Y4396">
            <v>-2.3599999999999999E-2</v>
          </cell>
          <cell r="Z4396">
            <v>-1.328E-2</v>
          </cell>
          <cell r="AA4396">
            <v>-0.20744000000000001</v>
          </cell>
          <cell r="AB4396">
            <v>-0.39846999999999999</v>
          </cell>
          <cell r="AC4396">
            <v>0.30021999999999999</v>
          </cell>
          <cell r="AD4396">
            <v>7.2669999999999998E-2</v>
          </cell>
          <cell r="AE4396">
            <v>-4.45E-3</v>
          </cell>
          <cell r="AF4396">
            <v>-9.3600000000000003E-3</v>
          </cell>
          <cell r="AG4396">
            <v>-7.3099999999999997E-3</v>
          </cell>
          <cell r="AH4396">
            <v>-8.6400000000000001E-3</v>
          </cell>
          <cell r="AI4396">
            <v>-2.181E-2</v>
          </cell>
          <cell r="AJ4396">
            <v>-4.8300000000000001E-3</v>
          </cell>
          <cell r="AK4396">
            <v>-1.04E-2</v>
          </cell>
          <cell r="AL4396">
            <v>-1.017E-2</v>
          </cell>
          <cell r="AM4396">
            <v>1.3799999999999999E-3</v>
          </cell>
          <cell r="AN4396">
            <v>-2.298E-2</v>
          </cell>
          <cell r="AO4396">
            <v>-1.77E-2</v>
          </cell>
          <cell r="AP4396">
            <v>2.707E-2</v>
          </cell>
        </row>
        <row r="4397">
          <cell r="D4397" t="str">
            <v>見附市</v>
          </cell>
          <cell r="E4397" t="str">
            <v>2015→2020</v>
          </cell>
          <cell r="F4397">
            <v>-1.538E-2</v>
          </cell>
          <cell r="G4397">
            <v>2.401E-2</v>
          </cell>
          <cell r="H4397">
            <v>-7.9600000000000004E-2</v>
          </cell>
          <cell r="I4397">
            <v>-0.26418000000000003</v>
          </cell>
          <cell r="J4397">
            <v>0.13800999999999999</v>
          </cell>
          <cell r="K4397">
            <v>8.3409999999999998E-2</v>
          </cell>
          <cell r="L4397">
            <v>3.7249999999999998E-2</v>
          </cell>
          <cell r="M4397">
            <v>5.6899999999999997E-3</v>
          </cell>
          <cell r="N4397">
            <v>-1.2800000000000001E-2</v>
          </cell>
          <cell r="O4397">
            <v>-1.2189999999999999E-2</v>
          </cell>
          <cell r="P4397">
            <v>2.5300000000000001E-3</v>
          </cell>
          <cell r="Q4397">
            <v>6.1900000000000002E-3</v>
          </cell>
          <cell r="R4397">
            <v>-7.8799999999999999E-3</v>
          </cell>
          <cell r="S4397">
            <v>1.57E-3</v>
          </cell>
          <cell r="T4397">
            <v>5.2500000000000003E-3</v>
          </cell>
          <cell r="U4397">
            <v>-1.166E-2</v>
          </cell>
          <cell r="V4397">
            <v>-1.099E-2</v>
          </cell>
          <cell r="W4397">
            <v>4.02E-2</v>
          </cell>
          <cell r="Y4397">
            <v>2.205E-2</v>
          </cell>
          <cell r="Z4397">
            <v>2.7200000000000002E-3</v>
          </cell>
          <cell r="AA4397">
            <v>-9.9589999999999998E-2</v>
          </cell>
          <cell r="AB4397">
            <v>-0.23715</v>
          </cell>
          <cell r="AC4397">
            <v>4.4069999999999998E-2</v>
          </cell>
          <cell r="AD4397">
            <v>1.9449999999999999E-2</v>
          </cell>
          <cell r="AE4397">
            <v>2.9319999999999999E-2</v>
          </cell>
          <cell r="AF4397">
            <v>1.7909999999999999E-2</v>
          </cell>
          <cell r="AG4397">
            <v>-9.1E-4</v>
          </cell>
          <cell r="AH4397">
            <v>-7.6699999999999997E-3</v>
          </cell>
          <cell r="AI4397">
            <v>1.5180000000000001E-2</v>
          </cell>
          <cell r="AJ4397">
            <v>-2.1520000000000001E-2</v>
          </cell>
          <cell r="AK4397">
            <v>2.4299999999999999E-3</v>
          </cell>
          <cell r="AL4397">
            <v>5.8599999999999998E-3</v>
          </cell>
          <cell r="AM4397">
            <v>-1.8159999999999999E-2</v>
          </cell>
          <cell r="AN4397">
            <v>-1.6400000000000001E-2</v>
          </cell>
          <cell r="AO4397">
            <v>-2.3470000000000001E-2</v>
          </cell>
          <cell r="AP4397">
            <v>4.5699999999999998E-2</v>
          </cell>
        </row>
        <row r="4398">
          <cell r="D4398" t="str">
            <v>見附市</v>
          </cell>
          <cell r="E4398" t="str">
            <v>2020→2025</v>
          </cell>
          <cell r="F4398">
            <v>-1.349E-2</v>
          </cell>
          <cell r="G4398">
            <v>2.4400000000000002E-2</v>
          </cell>
          <cell r="H4398">
            <v>-7.9820000000000002E-2</v>
          </cell>
          <cell r="I4398">
            <v>-0.26512999999999998</v>
          </cell>
          <cell r="J4398">
            <v>0.13123000000000001</v>
          </cell>
          <cell r="K4398">
            <v>8.9620000000000005E-2</v>
          </cell>
          <cell r="L4398">
            <v>3.6319999999999998E-2</v>
          </cell>
          <cell r="M4398">
            <v>4.4400000000000004E-3</v>
          </cell>
          <cell r="N4398">
            <v>-1.2880000000000001E-2</v>
          </cell>
          <cell r="O4398">
            <v>-1.2019999999999999E-2</v>
          </cell>
          <cell r="P4398">
            <v>2.14E-3</v>
          </cell>
          <cell r="Q4398">
            <v>7.0099999999999997E-3</v>
          </cell>
          <cell r="R4398">
            <v>-8.3599999999999994E-3</v>
          </cell>
          <cell r="S4398">
            <v>5.5000000000000003E-4</v>
          </cell>
          <cell r="T4398">
            <v>9.4199999999999996E-3</v>
          </cell>
          <cell r="U4398">
            <v>-1.3899999999999999E-2</v>
          </cell>
          <cell r="V4398">
            <v>-1.329E-2</v>
          </cell>
          <cell r="W4398">
            <v>3.1910000000000001E-2</v>
          </cell>
          <cell r="Y4398">
            <v>2.4299999999999999E-2</v>
          </cell>
          <cell r="Z4398">
            <v>2.99E-3</v>
          </cell>
          <cell r="AA4398">
            <v>-9.9589999999999998E-2</v>
          </cell>
          <cell r="AB4398">
            <v>-0.23832</v>
          </cell>
          <cell r="AC4398">
            <v>3.918E-2</v>
          </cell>
          <cell r="AD4398">
            <v>1.8970000000000001E-2</v>
          </cell>
          <cell r="AE4398">
            <v>3.4840000000000003E-2</v>
          </cell>
          <cell r="AF4398">
            <v>1.6459999999999999E-2</v>
          </cell>
          <cell r="AG4398">
            <v>5.2999999999999998E-4</v>
          </cell>
          <cell r="AH4398">
            <v>-7.5799999999999999E-3</v>
          </cell>
          <cell r="AI4398">
            <v>1.469E-2</v>
          </cell>
          <cell r="AJ4398">
            <v>-2.1520000000000001E-2</v>
          </cell>
          <cell r="AK4398">
            <v>1.81E-3</v>
          </cell>
          <cell r="AL4398">
            <v>5.77E-3</v>
          </cell>
          <cell r="AM4398">
            <v>-1.686E-2</v>
          </cell>
          <cell r="AN4398">
            <v>-1.6889999999999999E-2</v>
          </cell>
          <cell r="AO4398">
            <v>-2.5239999999999999E-2</v>
          </cell>
          <cell r="AP4398">
            <v>3.9320000000000001E-2</v>
          </cell>
        </row>
        <row r="4399">
          <cell r="D4399" t="str">
            <v>見附市</v>
          </cell>
          <cell r="E4399" t="str">
            <v>2025→2030</v>
          </cell>
          <cell r="F4399">
            <v>-1.306E-2</v>
          </cell>
          <cell r="G4399">
            <v>2.444E-2</v>
          </cell>
          <cell r="H4399">
            <v>-8.0089999999999995E-2</v>
          </cell>
          <cell r="I4399">
            <v>-0.26562999999999998</v>
          </cell>
          <cell r="J4399">
            <v>0.12278</v>
          </cell>
          <cell r="K4399">
            <v>8.2159999999999997E-2</v>
          </cell>
          <cell r="L4399">
            <v>4.0430000000000001E-2</v>
          </cell>
          <cell r="M4399">
            <v>3.31E-3</v>
          </cell>
          <cell r="N4399">
            <v>-1.372E-2</v>
          </cell>
          <cell r="O4399">
            <v>-1.0789999999999999E-2</v>
          </cell>
          <cell r="P4399">
            <v>2.0200000000000001E-3</v>
          </cell>
          <cell r="Q4399">
            <v>6.9899999999999997E-3</v>
          </cell>
          <cell r="R4399">
            <v>-7.9100000000000004E-3</v>
          </cell>
          <cell r="S4399">
            <v>1.3999999999999999E-4</v>
          </cell>
          <cell r="T4399">
            <v>8.26E-3</v>
          </cell>
          <cell r="U4399">
            <v>-8.7600000000000004E-3</v>
          </cell>
          <cell r="V4399">
            <v>-1.6660000000000001E-2</v>
          </cell>
          <cell r="W4399">
            <v>2.3120000000000002E-2</v>
          </cell>
          <cell r="Y4399">
            <v>2.4899999999999999E-2</v>
          </cell>
          <cell r="Z4399">
            <v>3.0799999999999998E-3</v>
          </cell>
          <cell r="AA4399">
            <v>-9.9589999999999998E-2</v>
          </cell>
          <cell r="AB4399">
            <v>-0.24001</v>
          </cell>
          <cell r="AC4399">
            <v>3.4529999999999998E-2</v>
          </cell>
          <cell r="AD4399">
            <v>1.418E-2</v>
          </cell>
          <cell r="AE4399">
            <v>3.3529999999999997E-2</v>
          </cell>
          <cell r="AF4399">
            <v>1.8550000000000001E-2</v>
          </cell>
          <cell r="AG4399">
            <v>-4.4000000000000002E-4</v>
          </cell>
          <cell r="AH4399">
            <v>-6.79E-3</v>
          </cell>
          <cell r="AI4399">
            <v>1.491E-2</v>
          </cell>
          <cell r="AJ4399">
            <v>-2.1520000000000001E-2</v>
          </cell>
          <cell r="AK4399">
            <v>2.47E-3</v>
          </cell>
          <cell r="AL4399">
            <v>4.79E-3</v>
          </cell>
          <cell r="AM4399">
            <v>-1.8499999999999999E-2</v>
          </cell>
          <cell r="AN4399">
            <v>-1.434E-2</v>
          </cell>
          <cell r="AO4399">
            <v>-2.7459999999999998E-2</v>
          </cell>
          <cell r="AP4399">
            <v>2.835E-2</v>
          </cell>
        </row>
        <row r="4400">
          <cell r="D4400" t="str">
            <v>見附市</v>
          </cell>
          <cell r="E4400" t="str">
            <v>2030→2035</v>
          </cell>
          <cell r="F4400">
            <v>-1.353E-2</v>
          </cell>
          <cell r="G4400">
            <v>2.4539999999999999E-2</v>
          </cell>
          <cell r="H4400">
            <v>-8.0259999999999998E-2</v>
          </cell>
          <cell r="I4400">
            <v>-0.26616000000000001</v>
          </cell>
          <cell r="J4400">
            <v>0.12225999999999999</v>
          </cell>
          <cell r="K4400">
            <v>7.4789999999999995E-2</v>
          </cell>
          <cell r="L4400">
            <v>3.5830000000000001E-2</v>
          </cell>
          <cell r="M4400">
            <v>7.6800000000000002E-3</v>
          </cell>
          <cell r="N4400">
            <v>-1.4279999999999999E-2</v>
          </cell>
          <cell r="O4400">
            <v>-1.1010000000000001E-2</v>
          </cell>
          <cell r="P4400">
            <v>3.46E-3</v>
          </cell>
          <cell r="Q4400">
            <v>6.7000000000000002E-3</v>
          </cell>
          <cell r="R4400">
            <v>-7.8300000000000002E-3</v>
          </cell>
          <cell r="S4400">
            <v>1.2099999999999999E-3</v>
          </cell>
          <cell r="T4400">
            <v>7.3499999999999998E-3</v>
          </cell>
          <cell r="U4400">
            <v>-1.3299999999999999E-2</v>
          </cell>
          <cell r="V4400">
            <v>-9.3399999999999993E-3</v>
          </cell>
          <cell r="W4400">
            <v>1.865E-2</v>
          </cell>
          <cell r="Y4400">
            <v>2.4209999999999999E-2</v>
          </cell>
          <cell r="Z4400">
            <v>3.13E-3</v>
          </cell>
          <cell r="AA4400">
            <v>-9.9589999999999998E-2</v>
          </cell>
          <cell r="AB4400">
            <v>-0.24109</v>
          </cell>
          <cell r="AC4400">
            <v>2.9829999999999999E-2</v>
          </cell>
          <cell r="AD4400">
            <v>9.9600000000000001E-3</v>
          </cell>
          <cell r="AE4400">
            <v>3.0099999999999998E-2</v>
          </cell>
          <cell r="AF4400">
            <v>1.8849999999999999E-2</v>
          </cell>
          <cell r="AG4400">
            <v>3.8999999999999999E-4</v>
          </cell>
          <cell r="AH4400">
            <v>-6.9300000000000004E-3</v>
          </cell>
          <cell r="AI4400">
            <v>1.602E-2</v>
          </cell>
          <cell r="AJ4400">
            <v>-2.1520000000000001E-2</v>
          </cell>
          <cell r="AK4400">
            <v>2.2200000000000002E-3</v>
          </cell>
          <cell r="AL4400">
            <v>5.8900000000000003E-3</v>
          </cell>
          <cell r="AM4400">
            <v>-1.804E-2</v>
          </cell>
          <cell r="AN4400">
            <v>-1.7559999999999999E-2</v>
          </cell>
          <cell r="AO4400">
            <v>-2.2239999999999999E-2</v>
          </cell>
          <cell r="AP4400">
            <v>2.418E-2</v>
          </cell>
        </row>
        <row r="4401">
          <cell r="D4401" t="str">
            <v>見附市</v>
          </cell>
          <cell r="E4401" t="str">
            <v>2035→2040</v>
          </cell>
          <cell r="F4401">
            <v>-1.404E-2</v>
          </cell>
          <cell r="G4401">
            <v>2.4109999999999999E-2</v>
          </cell>
          <cell r="H4401">
            <v>-8.0449999999999994E-2</v>
          </cell>
          <cell r="I4401">
            <v>-0.26650000000000001</v>
          </cell>
          <cell r="J4401">
            <v>0.11959</v>
          </cell>
          <cell r="K4401">
            <v>7.3090000000000002E-2</v>
          </cell>
          <cell r="L4401">
            <v>3.1359999999999999E-2</v>
          </cell>
          <cell r="M4401">
            <v>7.3200000000000001E-3</v>
          </cell>
          <cell r="N4401">
            <v>-1.222E-2</v>
          </cell>
          <cell r="O4401">
            <v>-1.091E-2</v>
          </cell>
          <cell r="P4401">
            <v>3.15E-3</v>
          </cell>
          <cell r="Q4401">
            <v>7.7400000000000004E-3</v>
          </cell>
          <cell r="R4401">
            <v>-8.3499999999999998E-3</v>
          </cell>
          <cell r="S4401">
            <v>1.1299999999999999E-3</v>
          </cell>
          <cell r="T4401">
            <v>7.0499999999999998E-3</v>
          </cell>
          <cell r="U4401">
            <v>-1.2109999999999999E-2</v>
          </cell>
          <cell r="V4401">
            <v>-1.5650000000000001E-2</v>
          </cell>
          <cell r="W4401">
            <v>2.8840000000000001E-2</v>
          </cell>
          <cell r="Y4401">
            <v>2.3449999999999999E-2</v>
          </cell>
          <cell r="Z4401">
            <v>2.8400000000000001E-3</v>
          </cell>
          <cell r="AA4401">
            <v>-9.9589999999999998E-2</v>
          </cell>
          <cell r="AB4401">
            <v>-0.24160999999999999</v>
          </cell>
          <cell r="AC4401">
            <v>2.6720000000000001E-2</v>
          </cell>
          <cell r="AD4401">
            <v>6.0400000000000002E-3</v>
          </cell>
          <cell r="AE4401">
            <v>2.7089999999999999E-2</v>
          </cell>
          <cell r="AF4401">
            <v>1.6840000000000001E-2</v>
          </cell>
          <cell r="AG4401">
            <v>7.5000000000000002E-4</v>
          </cell>
          <cell r="AH4401">
            <v>-6.8799999999999998E-3</v>
          </cell>
          <cell r="AI4401">
            <v>1.576E-2</v>
          </cell>
          <cell r="AJ4401">
            <v>-2.1499999999999998E-2</v>
          </cell>
          <cell r="AK4401">
            <v>2.1099999999999999E-3</v>
          </cell>
          <cell r="AL4401">
            <v>5.2500000000000003E-3</v>
          </cell>
          <cell r="AM4401">
            <v>-1.7739999999999999E-2</v>
          </cell>
          <cell r="AN4401">
            <v>-1.6639999999999999E-2</v>
          </cell>
          <cell r="AO4401">
            <v>-2.6589999999999999E-2</v>
          </cell>
          <cell r="AP4401">
            <v>3.3750000000000002E-2</v>
          </cell>
        </row>
        <row r="4402">
          <cell r="D4402" t="str">
            <v>見附市</v>
          </cell>
          <cell r="E4402" t="str">
            <v>2040→2045</v>
          </cell>
          <cell r="F4402">
            <v>-1.474E-2</v>
          </cell>
          <cell r="G4402">
            <v>2.366E-2</v>
          </cell>
          <cell r="H4402">
            <v>-8.0839999999999995E-2</v>
          </cell>
          <cell r="I4402">
            <v>-0.26691999999999999</v>
          </cell>
          <cell r="J4402">
            <v>0.11844</v>
          </cell>
          <cell r="K4402">
            <v>7.0900000000000005E-2</v>
          </cell>
          <cell r="L4402">
            <v>3.04E-2</v>
          </cell>
          <cell r="M4402">
            <v>4.6699999999999997E-3</v>
          </cell>
          <cell r="N4402">
            <v>-1.2319999999999999E-2</v>
          </cell>
          <cell r="O4402">
            <v>-1.098E-2</v>
          </cell>
          <cell r="P4402">
            <v>3.3E-3</v>
          </cell>
          <cell r="Q4402">
            <v>7.6499999999999997E-3</v>
          </cell>
          <cell r="R4402">
            <v>-7.9799999999999992E-3</v>
          </cell>
          <cell r="S4402">
            <v>4.2000000000000002E-4</v>
          </cell>
          <cell r="T4402">
            <v>6.7999999999999996E-3</v>
          </cell>
          <cell r="U4402">
            <v>-1.213E-2</v>
          </cell>
          <cell r="V4402">
            <v>-1.379E-2</v>
          </cell>
          <cell r="W4402">
            <v>7.8399999999999997E-3</v>
          </cell>
          <cell r="Y4402">
            <v>2.2409999999999999E-2</v>
          </cell>
          <cell r="Z4402">
            <v>2.5500000000000002E-3</v>
          </cell>
          <cell r="AA4402">
            <v>-9.9589999999999998E-2</v>
          </cell>
          <cell r="AB4402">
            <v>-0.24249999999999999</v>
          </cell>
          <cell r="AC4402">
            <v>2.6190000000000001E-2</v>
          </cell>
          <cell r="AD4402">
            <v>4.3499999999999997E-3</v>
          </cell>
          <cell r="AE4402">
            <v>2.4719999999999999E-2</v>
          </cell>
          <cell r="AF4402">
            <v>1.519E-2</v>
          </cell>
          <cell r="AG4402">
            <v>-2.9999999999999997E-4</v>
          </cell>
          <cell r="AH4402">
            <v>-7.0600000000000003E-3</v>
          </cell>
          <cell r="AI4402">
            <v>1.5959999999999998E-2</v>
          </cell>
          <cell r="AJ4402">
            <v>-2.1499999999999998E-2</v>
          </cell>
          <cell r="AK4402">
            <v>2.5799999999999998E-3</v>
          </cell>
          <cell r="AL4402">
            <v>5.0499999999999998E-3</v>
          </cell>
          <cell r="AM4402">
            <v>-1.7510000000000001E-2</v>
          </cell>
          <cell r="AN4402">
            <v>-1.6029999999999999E-2</v>
          </cell>
          <cell r="AO4402">
            <v>-2.5579999999999999E-2</v>
          </cell>
          <cell r="AP4402">
            <v>1.3270000000000001E-2</v>
          </cell>
        </row>
        <row r="4403">
          <cell r="D4403" t="str">
            <v>村上市</v>
          </cell>
          <cell r="E4403" t="str">
            <v>2015→2020</v>
          </cell>
          <cell r="F4403">
            <v>1.319E-2</v>
          </cell>
          <cell r="G4403">
            <v>-7.6299999999999996E-3</v>
          </cell>
          <cell r="H4403">
            <v>-6.4630000000000007E-2</v>
          </cell>
          <cell r="I4403">
            <v>-0.29331000000000002</v>
          </cell>
          <cell r="J4403">
            <v>7.4749999999999997E-2</v>
          </cell>
          <cell r="K4403">
            <v>8.6599999999999993E-3</v>
          </cell>
          <cell r="L4403">
            <v>6.9999999999999994E-5</v>
          </cell>
          <cell r="M4403">
            <v>7.0200000000000002E-3</v>
          </cell>
          <cell r="N4403">
            <v>6.0899999999999999E-3</v>
          </cell>
          <cell r="O4403">
            <v>-3.1900000000000001E-3</v>
          </cell>
          <cell r="P4403">
            <v>8.7500000000000008E-3</v>
          </cell>
          <cell r="Q4403">
            <v>1.227E-2</v>
          </cell>
          <cell r="R4403">
            <v>9.3900000000000008E-3</v>
          </cell>
          <cell r="S4403">
            <v>7.5599999999999999E-3</v>
          </cell>
          <cell r="T4403">
            <v>-1.255E-2</v>
          </cell>
          <cell r="U4403">
            <v>-1.183E-2</v>
          </cell>
          <cell r="V4403">
            <v>-1.342E-2</v>
          </cell>
          <cell r="W4403">
            <v>2.4830000000000001E-2</v>
          </cell>
          <cell r="Y4403">
            <v>3.5500000000000002E-3</v>
          </cell>
          <cell r="Z4403">
            <v>8.1499999999999993E-3</v>
          </cell>
          <cell r="AA4403">
            <v>-0.10399</v>
          </cell>
          <cell r="AB4403">
            <v>-0.33572999999999997</v>
          </cell>
          <cell r="AC4403">
            <v>-2.562E-2</v>
          </cell>
          <cell r="AD4403">
            <v>-8.5800000000000008E-3</v>
          </cell>
          <cell r="AE4403">
            <v>7.2100000000000003E-3</v>
          </cell>
          <cell r="AF4403">
            <v>-1.162E-2</v>
          </cell>
          <cell r="AG4403">
            <v>-2.15E-3</v>
          </cell>
          <cell r="AH4403">
            <v>-1.01E-2</v>
          </cell>
          <cell r="AI4403">
            <v>4.2599999999999999E-3</v>
          </cell>
          <cell r="AJ4403">
            <v>3.3E-3</v>
          </cell>
          <cell r="AK4403">
            <v>1.2199999999999999E-3</v>
          </cell>
          <cell r="AL4403">
            <v>-1.07E-3</v>
          </cell>
          <cell r="AM4403">
            <v>-1.9400000000000001E-3</v>
          </cell>
          <cell r="AN4403">
            <v>-2.4099999999999998E-3</v>
          </cell>
          <cell r="AO4403">
            <v>-1.2120000000000001E-2</v>
          </cell>
          <cell r="AP4403">
            <v>2.528E-2</v>
          </cell>
        </row>
        <row r="4404">
          <cell r="D4404" t="str">
            <v>村上市</v>
          </cell>
          <cell r="E4404" t="str">
            <v>2020→2025</v>
          </cell>
          <cell r="F4404">
            <v>1.4030000000000001E-2</v>
          </cell>
          <cell r="G4404">
            <v>-7.0499999999999998E-3</v>
          </cell>
          <cell r="H4404">
            <v>-6.5939999999999999E-2</v>
          </cell>
          <cell r="I4404">
            <v>-0.29454000000000002</v>
          </cell>
          <cell r="J4404">
            <v>8.6120000000000002E-2</v>
          </cell>
          <cell r="K4404">
            <v>-9.7999999999999997E-4</v>
          </cell>
          <cell r="L4404">
            <v>1.83E-3</v>
          </cell>
          <cell r="M4404">
            <v>1.14E-2</v>
          </cell>
          <cell r="N4404">
            <v>9.6500000000000006E-3</v>
          </cell>
          <cell r="O4404">
            <v>-2.99E-3</v>
          </cell>
          <cell r="P4404">
            <v>8.4799999999999997E-3</v>
          </cell>
          <cell r="Q4404">
            <v>1.222E-2</v>
          </cell>
          <cell r="R4404">
            <v>1.0919999999999999E-2</v>
          </cell>
          <cell r="S4404">
            <v>6.2399999999999999E-3</v>
          </cell>
          <cell r="T4404">
            <v>-9.8700000000000003E-3</v>
          </cell>
          <cell r="U4404">
            <v>-1.3650000000000001E-2</v>
          </cell>
          <cell r="V4404">
            <v>-1.553E-2</v>
          </cell>
          <cell r="W4404">
            <v>1.8079999999999999E-2</v>
          </cell>
          <cell r="Y4404">
            <v>4.5100000000000001E-3</v>
          </cell>
          <cell r="Z4404">
            <v>8.8199999999999997E-3</v>
          </cell>
          <cell r="AA4404">
            <v>-0.1045</v>
          </cell>
          <cell r="AB4404">
            <v>-0.33660000000000001</v>
          </cell>
          <cell r="AC4404">
            <v>-1.8290000000000001E-2</v>
          </cell>
          <cell r="AD4404">
            <v>-7.79E-3</v>
          </cell>
          <cell r="AE4404">
            <v>9.4999999999999998E-3</v>
          </cell>
          <cell r="AF4404">
            <v>-9.3600000000000003E-3</v>
          </cell>
          <cell r="AG4404">
            <v>-5.0000000000000002E-5</v>
          </cell>
          <cell r="AH4404">
            <v>-1.005E-2</v>
          </cell>
          <cell r="AI4404">
            <v>4.0400000000000002E-3</v>
          </cell>
          <cell r="AJ4404">
            <v>3.29E-3</v>
          </cell>
          <cell r="AK4404">
            <v>2.0699999999999998E-3</v>
          </cell>
          <cell r="AL4404">
            <v>-1.6100000000000001E-3</v>
          </cell>
          <cell r="AM4404">
            <v>5.0000000000000002E-5</v>
          </cell>
          <cell r="AN4404">
            <v>-3.8800000000000002E-3</v>
          </cell>
          <cell r="AO4404">
            <v>-1.3899999999999999E-2</v>
          </cell>
          <cell r="AP4404">
            <v>1.8530000000000001E-2</v>
          </cell>
        </row>
        <row r="4405">
          <cell r="D4405" t="str">
            <v>村上市</v>
          </cell>
          <cell r="E4405" t="str">
            <v>2025→2030</v>
          </cell>
          <cell r="F4405">
            <v>1.468E-2</v>
          </cell>
          <cell r="G4405">
            <v>-6.9199999999999999E-3</v>
          </cell>
          <cell r="H4405">
            <v>-6.6170000000000007E-2</v>
          </cell>
          <cell r="I4405">
            <v>-0.29541000000000001</v>
          </cell>
          <cell r="J4405">
            <v>9.9049999999999999E-2</v>
          </cell>
          <cell r="K4405">
            <v>2.4399999999999999E-3</v>
          </cell>
          <cell r="L4405">
            <v>1.47E-3</v>
          </cell>
          <cell r="M4405">
            <v>1.189E-2</v>
          </cell>
          <cell r="N4405">
            <v>9.6500000000000006E-3</v>
          </cell>
          <cell r="O4405">
            <v>-8.4999999999999995E-4</v>
          </cell>
          <cell r="P4405">
            <v>8.2699999999999996E-3</v>
          </cell>
          <cell r="Q4405">
            <v>1.225E-2</v>
          </cell>
          <cell r="R4405">
            <v>1.0500000000000001E-2</v>
          </cell>
          <cell r="S4405">
            <v>7.8200000000000006E-3</v>
          </cell>
          <cell r="T4405">
            <v>-1.2489999999999999E-2</v>
          </cell>
          <cell r="U4405">
            <v>-8.94E-3</v>
          </cell>
          <cell r="V4405">
            <v>-1.8190000000000001E-2</v>
          </cell>
          <cell r="W4405">
            <v>1.0189999999999999E-2</v>
          </cell>
          <cell r="Y4405">
            <v>5.2100000000000002E-3</v>
          </cell>
          <cell r="Z4405">
            <v>8.94E-3</v>
          </cell>
          <cell r="AA4405">
            <v>-0.1047</v>
          </cell>
          <cell r="AB4405">
            <v>-0.33743000000000001</v>
          </cell>
          <cell r="AC4405">
            <v>-2.2290000000000001E-2</v>
          </cell>
          <cell r="AD4405">
            <v>-1.2630000000000001E-2</v>
          </cell>
          <cell r="AE4405">
            <v>9.1900000000000003E-3</v>
          </cell>
          <cell r="AF4405">
            <v>-8.6700000000000006E-3</v>
          </cell>
          <cell r="AG4405">
            <v>1.2E-4</v>
          </cell>
          <cell r="AH4405">
            <v>-9.4500000000000001E-3</v>
          </cell>
          <cell r="AI4405">
            <v>4.1399999999999996E-3</v>
          </cell>
          <cell r="AJ4405">
            <v>3.1800000000000001E-3</v>
          </cell>
          <cell r="AK4405">
            <v>1.7899999999999999E-3</v>
          </cell>
          <cell r="AL4405">
            <v>-1E-3</v>
          </cell>
          <cell r="AM4405">
            <v>-4.4999999999999999E-4</v>
          </cell>
          <cell r="AN4405">
            <v>-4.2000000000000002E-4</v>
          </cell>
          <cell r="AO4405">
            <v>-1.651E-2</v>
          </cell>
          <cell r="AP4405">
            <v>8.8000000000000005E-3</v>
          </cell>
        </row>
        <row r="4406">
          <cell r="D4406" t="str">
            <v>村上市</v>
          </cell>
          <cell r="E4406" t="str">
            <v>2030→2035</v>
          </cell>
          <cell r="F4406">
            <v>1.465E-2</v>
          </cell>
          <cell r="G4406">
            <v>-6.77E-3</v>
          </cell>
          <cell r="H4406">
            <v>-6.6570000000000004E-2</v>
          </cell>
          <cell r="I4406">
            <v>-0.29566999999999999</v>
          </cell>
          <cell r="J4406">
            <v>9.7629999999999995E-2</v>
          </cell>
          <cell r="K4406">
            <v>6.9999999999999999E-4</v>
          </cell>
          <cell r="L4406">
            <v>-2.0500000000000002E-3</v>
          </cell>
          <cell r="M4406">
            <v>9.8099999999999993E-3</v>
          </cell>
          <cell r="N4406">
            <v>9.9799999999999993E-3</v>
          </cell>
          <cell r="O4406">
            <v>-8.3000000000000001E-4</v>
          </cell>
          <cell r="P4406">
            <v>9.5200000000000007E-3</v>
          </cell>
          <cell r="Q4406">
            <v>1.1820000000000001E-2</v>
          </cell>
          <cell r="R4406">
            <v>1.0529999999999999E-2</v>
          </cell>
          <cell r="S4406">
            <v>7.79E-3</v>
          </cell>
          <cell r="T4406">
            <v>-1.1769999999999999E-2</v>
          </cell>
          <cell r="U4406">
            <v>-1.375E-2</v>
          </cell>
          <cell r="V4406">
            <v>-1.158E-2</v>
          </cell>
          <cell r="W4406">
            <v>6.8599999999999998E-3</v>
          </cell>
          <cell r="Y4406">
            <v>5.1599999999999997E-3</v>
          </cell>
          <cell r="Z4406">
            <v>9.11E-3</v>
          </cell>
          <cell r="AA4406">
            <v>-0.10489</v>
          </cell>
          <cell r="AB4406">
            <v>-0.33781</v>
          </cell>
          <cell r="AC4406">
            <v>-2.3879999999999998E-2</v>
          </cell>
          <cell r="AD4406">
            <v>-1.5859999999999999E-2</v>
          </cell>
          <cell r="AE4406">
            <v>6.13E-3</v>
          </cell>
          <cell r="AF4406">
            <v>-9.0900000000000009E-3</v>
          </cell>
          <cell r="AG4406">
            <v>4.4999999999999999E-4</v>
          </cell>
          <cell r="AH4406">
            <v>-9.4000000000000004E-3</v>
          </cell>
          <cell r="AI4406">
            <v>4.7400000000000003E-3</v>
          </cell>
          <cell r="AJ4406">
            <v>3.2599999999999999E-3</v>
          </cell>
          <cell r="AK4406">
            <v>1.65E-3</v>
          </cell>
          <cell r="AL4406">
            <v>-1.3500000000000001E-3</v>
          </cell>
          <cell r="AM4406">
            <v>-2.9999999999999997E-4</v>
          </cell>
          <cell r="AN4406">
            <v>-2.2899999999999999E-3</v>
          </cell>
          <cell r="AO4406">
            <v>-1.068E-2</v>
          </cell>
          <cell r="AP4406">
            <v>5.94E-3</v>
          </cell>
        </row>
        <row r="4407">
          <cell r="D4407" t="str">
            <v>村上市</v>
          </cell>
          <cell r="E4407" t="str">
            <v>2035→2040</v>
          </cell>
          <cell r="F4407">
            <v>1.4449999999999999E-2</v>
          </cell>
          <cell r="G4407">
            <v>-6.8900000000000003E-3</v>
          </cell>
          <cell r="H4407">
            <v>-6.7049999999999998E-2</v>
          </cell>
          <cell r="I4407">
            <v>-0.29601</v>
          </cell>
          <cell r="J4407">
            <v>9.8729999999999998E-2</v>
          </cell>
          <cell r="K4407">
            <v>-8.8000000000000003E-4</v>
          </cell>
          <cell r="L4407">
            <v>-5.0600000000000003E-3</v>
          </cell>
          <cell r="M4407">
            <v>8.5800000000000008E-3</v>
          </cell>
          <cell r="N4407">
            <v>9.5399999999999999E-3</v>
          </cell>
          <cell r="O4407">
            <v>-4.8000000000000001E-4</v>
          </cell>
          <cell r="P4407">
            <v>9.5300000000000003E-3</v>
          </cell>
          <cell r="Q4407">
            <v>1.299E-2</v>
          </cell>
          <cell r="R4407">
            <v>9.8899999999999995E-3</v>
          </cell>
          <cell r="S4407">
            <v>7.6499999999999997E-3</v>
          </cell>
          <cell r="T4407">
            <v>-1.1560000000000001E-2</v>
          </cell>
          <cell r="U4407">
            <v>-1.234E-2</v>
          </cell>
          <cell r="V4407">
            <v>-1.839E-2</v>
          </cell>
          <cell r="W4407">
            <v>1.6500000000000001E-2</v>
          </cell>
          <cell r="Y4407">
            <v>4.9199999999999999E-3</v>
          </cell>
          <cell r="Z4407">
            <v>8.9499999999999996E-3</v>
          </cell>
          <cell r="AA4407">
            <v>-0.10514999999999999</v>
          </cell>
          <cell r="AB4407">
            <v>-0.33816000000000002</v>
          </cell>
          <cell r="AC4407">
            <v>-2.4140000000000002E-2</v>
          </cell>
          <cell r="AD4407">
            <v>-1.729E-2</v>
          </cell>
          <cell r="AE4407">
            <v>4.0099999999999997E-3</v>
          </cell>
          <cell r="AF4407">
            <v>-1.077E-2</v>
          </cell>
          <cell r="AG4407">
            <v>6.0000000000000002E-5</v>
          </cell>
          <cell r="AH4407">
            <v>-9.2300000000000004E-3</v>
          </cell>
          <cell r="AI4407">
            <v>4.79E-3</v>
          </cell>
          <cell r="AJ4407">
            <v>3.8400000000000001E-3</v>
          </cell>
          <cell r="AK4407">
            <v>1.5100000000000001E-3</v>
          </cell>
          <cell r="AL4407">
            <v>-1.56E-3</v>
          </cell>
          <cell r="AM4407">
            <v>-7.9000000000000001E-4</v>
          </cell>
          <cell r="AN4407">
            <v>-1.83E-3</v>
          </cell>
          <cell r="AO4407">
            <v>-1.448E-2</v>
          </cell>
          <cell r="AP4407">
            <v>1.5730000000000001E-2</v>
          </cell>
        </row>
        <row r="4408">
          <cell r="D4408" t="str">
            <v>村上市</v>
          </cell>
          <cell r="E4408" t="str">
            <v>2040→2045</v>
          </cell>
          <cell r="F4408">
            <v>1.401E-2</v>
          </cell>
          <cell r="G4408">
            <v>-7.0600000000000003E-3</v>
          </cell>
          <cell r="H4408">
            <v>-6.8129999999999996E-2</v>
          </cell>
          <cell r="I4408">
            <v>-0.29647000000000001</v>
          </cell>
          <cell r="J4408">
            <v>9.869E-2</v>
          </cell>
          <cell r="K4408">
            <v>-5.2999999999999998E-4</v>
          </cell>
          <cell r="L4408">
            <v>-6.11E-3</v>
          </cell>
          <cell r="M4408">
            <v>6.2899999999999996E-3</v>
          </cell>
          <cell r="N4408">
            <v>7.4400000000000004E-3</v>
          </cell>
          <cell r="O4408">
            <v>-6.7000000000000002E-4</v>
          </cell>
          <cell r="P4408">
            <v>9.7800000000000005E-3</v>
          </cell>
          <cell r="Q4408">
            <v>1.315E-2</v>
          </cell>
          <cell r="R4408">
            <v>1.0789999999999999E-2</v>
          </cell>
          <cell r="S4408">
            <v>6.8900000000000003E-3</v>
          </cell>
          <cell r="T4408">
            <v>-1.128E-2</v>
          </cell>
          <cell r="U4408">
            <v>-1.187E-2</v>
          </cell>
          <cell r="V4408">
            <v>-1.6140000000000002E-2</v>
          </cell>
          <cell r="W4408">
            <v>-4.7400000000000003E-3</v>
          </cell>
          <cell r="Y4408">
            <v>4.4000000000000003E-3</v>
          </cell>
          <cell r="Z4408">
            <v>8.7200000000000003E-3</v>
          </cell>
          <cell r="AA4408">
            <v>-0.10567</v>
          </cell>
          <cell r="AB4408">
            <v>-0.33865000000000001</v>
          </cell>
          <cell r="AC4408">
            <v>-2.4410000000000001E-2</v>
          </cell>
          <cell r="AD4408">
            <v>-1.6990000000000002E-2</v>
          </cell>
          <cell r="AE4408">
            <v>3.1800000000000001E-3</v>
          </cell>
          <cell r="AF4408">
            <v>-1.188E-2</v>
          </cell>
          <cell r="AG4408">
            <v>-1.09E-3</v>
          </cell>
          <cell r="AH4408">
            <v>-9.2899999999999996E-3</v>
          </cell>
          <cell r="AI4408">
            <v>5.0699999999999999E-3</v>
          </cell>
          <cell r="AJ4408">
            <v>3.96E-3</v>
          </cell>
          <cell r="AK4408">
            <v>1.83E-3</v>
          </cell>
          <cell r="AL4408">
            <v>-1.82E-3</v>
          </cell>
          <cell r="AM4408">
            <v>-1.0399999999999999E-3</v>
          </cell>
          <cell r="AN4408">
            <v>-2.1800000000000001E-3</v>
          </cell>
          <cell r="AO4408">
            <v>-1.3390000000000001E-2</v>
          </cell>
          <cell r="AP4408">
            <v>-5.0499999999999998E-3</v>
          </cell>
        </row>
        <row r="4409">
          <cell r="D4409" t="str">
            <v>燕市</v>
          </cell>
          <cell r="E4409" t="str">
            <v>2015→2020</v>
          </cell>
          <cell r="F4409">
            <v>-1.3639999999999999E-2</v>
          </cell>
          <cell r="G4409">
            <v>1.8319999999999999E-2</v>
          </cell>
          <cell r="H4409">
            <v>-0.10026</v>
          </cell>
          <cell r="I4409">
            <v>-0.22186</v>
          </cell>
          <cell r="J4409">
            <v>0.18801000000000001</v>
          </cell>
          <cell r="K4409">
            <v>7.152E-2</v>
          </cell>
          <cell r="L4409">
            <v>1.31E-3</v>
          </cell>
          <cell r="M4409">
            <v>1.205E-2</v>
          </cell>
          <cell r="N4409">
            <v>-7.3400000000000002E-3</v>
          </cell>
          <cell r="O4409">
            <v>-1.17E-3</v>
          </cell>
          <cell r="P4409">
            <v>1.9000000000000001E-4</v>
          </cell>
          <cell r="Q4409">
            <v>-8.3499999999999998E-3</v>
          </cell>
          <cell r="R4409">
            <v>-6.6699999999999997E-3</v>
          </cell>
          <cell r="S4409">
            <v>-4.5999999999999999E-3</v>
          </cell>
          <cell r="T4409">
            <v>-1.5010000000000001E-2</v>
          </cell>
          <cell r="U4409">
            <v>-1.779E-2</v>
          </cell>
          <cell r="V4409">
            <v>-1.406E-2</v>
          </cell>
          <cell r="W4409">
            <v>-6.2500000000000003E-3</v>
          </cell>
          <cell r="Y4409">
            <v>3.3520000000000001E-2</v>
          </cell>
          <cell r="Z4409">
            <v>1.014E-2</v>
          </cell>
          <cell r="AA4409">
            <v>-9.7280000000000005E-2</v>
          </cell>
          <cell r="AB4409">
            <v>-0.21088999999999999</v>
          </cell>
          <cell r="AC4409">
            <v>0.14521999999999999</v>
          </cell>
          <cell r="AD4409">
            <v>4.19E-2</v>
          </cell>
          <cell r="AE4409">
            <v>7.1599999999999997E-3</v>
          </cell>
          <cell r="AF4409">
            <v>3.3400000000000001E-3</v>
          </cell>
          <cell r="AG4409">
            <v>4.6000000000000001E-4</v>
          </cell>
          <cell r="AH4409">
            <v>-1.99E-3</v>
          </cell>
          <cell r="AI4409">
            <v>2.96E-3</v>
          </cell>
          <cell r="AJ4409">
            <v>4.9199999999999999E-3</v>
          </cell>
          <cell r="AK4409">
            <v>-1.2800000000000001E-3</v>
          </cell>
          <cell r="AL4409">
            <v>-2.8800000000000002E-3</v>
          </cell>
          <cell r="AM4409">
            <v>-1.9570000000000001E-2</v>
          </cell>
          <cell r="AN4409">
            <v>-2.5870000000000001E-2</v>
          </cell>
          <cell r="AO4409">
            <v>-1.6330000000000001E-2</v>
          </cell>
          <cell r="AP4409">
            <v>2.3E-2</v>
          </cell>
        </row>
        <row r="4410">
          <cell r="D4410" t="str">
            <v>燕市</v>
          </cell>
          <cell r="E4410" t="str">
            <v>2020→2025</v>
          </cell>
          <cell r="F4410">
            <v>-1.291E-2</v>
          </cell>
          <cell r="G4410">
            <v>1.9539999999999998E-2</v>
          </cell>
          <cell r="H4410">
            <v>-0.10051</v>
          </cell>
          <cell r="I4410">
            <v>-0.22375</v>
          </cell>
          <cell r="J4410">
            <v>0.18604999999999999</v>
          </cell>
          <cell r="K4410">
            <v>7.1179999999999993E-2</v>
          </cell>
          <cell r="L4410">
            <v>2.8600000000000001E-3</v>
          </cell>
          <cell r="M4410">
            <v>1.434E-2</v>
          </cell>
          <cell r="N4410">
            <v>-4.0699999999999998E-3</v>
          </cell>
          <cell r="O4410">
            <v>-7.3999999999999999E-4</v>
          </cell>
          <cell r="P4410">
            <v>1.3999999999999999E-4</v>
          </cell>
          <cell r="Q4410">
            <v>-8.4200000000000004E-3</v>
          </cell>
          <cell r="R4410">
            <v>-6.2300000000000003E-3</v>
          </cell>
          <cell r="S4410">
            <v>-6.13E-3</v>
          </cell>
          <cell r="T4410">
            <v>-1.231E-2</v>
          </cell>
          <cell r="U4410">
            <v>-1.917E-2</v>
          </cell>
          <cell r="V4410">
            <v>-1.7319999999999999E-2</v>
          </cell>
          <cell r="W4410">
            <v>-1.273E-2</v>
          </cell>
          <cell r="Y4410">
            <v>3.5060000000000001E-2</v>
          </cell>
          <cell r="Z4410">
            <v>1.093E-2</v>
          </cell>
          <cell r="AA4410">
            <v>-9.7540000000000002E-2</v>
          </cell>
          <cell r="AB4410">
            <v>-0.21226</v>
          </cell>
          <cell r="AC4410">
            <v>0.13741999999999999</v>
          </cell>
          <cell r="AD4410">
            <v>4.342E-2</v>
          </cell>
          <cell r="AE4410">
            <v>9.7099999999999999E-3</v>
          </cell>
          <cell r="AF4410">
            <v>3.8999999999999998E-3</v>
          </cell>
          <cell r="AG4410">
            <v>2.99E-3</v>
          </cell>
          <cell r="AH4410">
            <v>-1.67E-3</v>
          </cell>
          <cell r="AI4410">
            <v>2.7299999999999998E-3</v>
          </cell>
          <cell r="AJ4410">
            <v>4.8599999999999997E-3</v>
          </cell>
          <cell r="AK4410">
            <v>-1.0200000000000001E-3</v>
          </cell>
          <cell r="AL4410">
            <v>-3.0300000000000001E-3</v>
          </cell>
          <cell r="AM4410">
            <v>-1.8270000000000002E-2</v>
          </cell>
          <cell r="AN4410">
            <v>-2.6419999999999999E-2</v>
          </cell>
          <cell r="AO4410">
            <v>-1.822E-2</v>
          </cell>
          <cell r="AP4410">
            <v>1.6129999999999999E-2</v>
          </cell>
        </row>
        <row r="4411">
          <cell r="D4411" t="str">
            <v>燕市</v>
          </cell>
          <cell r="E4411" t="str">
            <v>2025→2030</v>
          </cell>
          <cell r="F4411">
            <v>-1.235E-2</v>
          </cell>
          <cell r="G4411">
            <v>1.9800000000000002E-2</v>
          </cell>
          <cell r="H4411">
            <v>-0.10055</v>
          </cell>
          <cell r="I4411">
            <v>-0.22486</v>
          </cell>
          <cell r="J4411">
            <v>0.17774999999999999</v>
          </cell>
          <cell r="K4411">
            <v>8.2100000000000006E-2</v>
          </cell>
          <cell r="L4411">
            <v>1.5900000000000001E-3</v>
          </cell>
          <cell r="M4411">
            <v>1.204E-2</v>
          </cell>
          <cell r="N4411">
            <v>-4.3E-3</v>
          </cell>
          <cell r="O4411">
            <v>1.0399999999999999E-3</v>
          </cell>
          <cell r="P4411">
            <v>1.8000000000000001E-4</v>
          </cell>
          <cell r="Q4411">
            <v>-8.3199999999999993E-3</v>
          </cell>
          <cell r="R4411">
            <v>-5.5700000000000003E-3</v>
          </cell>
          <cell r="S4411">
            <v>-5.6800000000000002E-3</v>
          </cell>
          <cell r="T4411">
            <v>-1.4880000000000001E-2</v>
          </cell>
          <cell r="U4411">
            <v>-1.4460000000000001E-2</v>
          </cell>
          <cell r="V4411">
            <v>-1.976E-2</v>
          </cell>
          <cell r="W4411">
            <v>-2.0320000000000001E-2</v>
          </cell>
          <cell r="Y4411">
            <v>3.603E-2</v>
          </cell>
          <cell r="Z4411">
            <v>1.1440000000000001E-2</v>
          </cell>
          <cell r="AA4411">
            <v>-9.7689999999999999E-2</v>
          </cell>
          <cell r="AB4411">
            <v>-0.21334</v>
          </cell>
          <cell r="AC4411">
            <v>0.1308</v>
          </cell>
          <cell r="AD4411">
            <v>4.2560000000000001E-2</v>
          </cell>
          <cell r="AE4411">
            <v>9.3399999999999993E-3</v>
          </cell>
          <cell r="AF4411">
            <v>4.81E-3</v>
          </cell>
          <cell r="AG4411">
            <v>2.9399999999999999E-3</v>
          </cell>
          <cell r="AH4411">
            <v>-9.3999999999999997E-4</v>
          </cell>
          <cell r="AI4411">
            <v>3.0100000000000001E-3</v>
          </cell>
          <cell r="AJ4411">
            <v>4.7699999999999999E-3</v>
          </cell>
          <cell r="AK4411">
            <v>-1.4300000000000001E-3</v>
          </cell>
          <cell r="AL4411">
            <v>-2.5300000000000001E-3</v>
          </cell>
          <cell r="AM4411">
            <v>-1.9910000000000001E-2</v>
          </cell>
          <cell r="AN4411">
            <v>-2.3349999999999999E-2</v>
          </cell>
          <cell r="AO4411">
            <v>-2.1129999999999999E-2</v>
          </cell>
          <cell r="AP4411">
            <v>6.3E-3</v>
          </cell>
        </row>
        <row r="4412">
          <cell r="D4412" t="str">
            <v>燕市</v>
          </cell>
          <cell r="E4412" t="str">
            <v>2030→2035</v>
          </cell>
          <cell r="F4412">
            <v>-1.2409999999999999E-2</v>
          </cell>
          <cell r="G4412">
            <v>2.0109999999999999E-2</v>
          </cell>
          <cell r="H4412">
            <v>-0.10065</v>
          </cell>
          <cell r="I4412">
            <v>-0.22525999999999999</v>
          </cell>
          <cell r="J4412">
            <v>0.17680000000000001</v>
          </cell>
          <cell r="K4412">
            <v>7.528E-2</v>
          </cell>
          <cell r="L4412">
            <v>-3.0000000000000001E-5</v>
          </cell>
          <cell r="M4412">
            <v>1.099E-2</v>
          </cell>
          <cell r="N4412">
            <v>-3.9300000000000003E-3</v>
          </cell>
          <cell r="O4412">
            <v>8.8999999999999995E-4</v>
          </cell>
          <cell r="P4412">
            <v>1.42E-3</v>
          </cell>
          <cell r="Q4412">
            <v>-8.3999999999999995E-3</v>
          </cell>
          <cell r="R4412">
            <v>-5.3800000000000002E-3</v>
          </cell>
          <cell r="S4412">
            <v>-5.5999999999999999E-3</v>
          </cell>
          <cell r="T4412">
            <v>-1.421E-2</v>
          </cell>
          <cell r="U4412">
            <v>-1.9279999999999999E-2</v>
          </cell>
          <cell r="V4412">
            <v>-1.1900000000000001E-2</v>
          </cell>
          <cell r="W4412">
            <v>-2.3429999999999999E-2</v>
          </cell>
          <cell r="Y4412">
            <v>3.5920000000000001E-2</v>
          </cell>
          <cell r="Z4412">
            <v>1.163E-2</v>
          </cell>
          <cell r="AA4412">
            <v>-9.7790000000000002E-2</v>
          </cell>
          <cell r="AB4412">
            <v>-0.21407999999999999</v>
          </cell>
          <cell r="AC4412">
            <v>0.12897</v>
          </cell>
          <cell r="AD4412">
            <v>3.7379999999999997E-2</v>
          </cell>
          <cell r="AE4412">
            <v>6.1900000000000002E-3</v>
          </cell>
          <cell r="AF4412">
            <v>4.3400000000000001E-3</v>
          </cell>
          <cell r="AG4412">
            <v>3.3E-3</v>
          </cell>
          <cell r="AH4412">
            <v>-9.7999999999999997E-4</v>
          </cell>
          <cell r="AI4412">
            <v>3.7299999999999998E-3</v>
          </cell>
          <cell r="AJ4412">
            <v>4.9899999999999996E-3</v>
          </cell>
          <cell r="AK4412">
            <v>-1.6100000000000001E-3</v>
          </cell>
          <cell r="AL4412">
            <v>-2.9099999999999998E-3</v>
          </cell>
          <cell r="AM4412">
            <v>-1.9449999999999999E-2</v>
          </cell>
          <cell r="AN4412">
            <v>-2.5819999999999999E-2</v>
          </cell>
          <cell r="AO4412">
            <v>-1.4789999999999999E-2</v>
          </cell>
          <cell r="AP4412">
            <v>3.2000000000000002E-3</v>
          </cell>
        </row>
        <row r="4413">
          <cell r="D4413" t="str">
            <v>燕市</v>
          </cell>
          <cell r="E4413" t="str">
            <v>2035→2040</v>
          </cell>
          <cell r="F4413">
            <v>-1.2529999999999999E-2</v>
          </cell>
          <cell r="G4413">
            <v>1.9859999999999999E-2</v>
          </cell>
          <cell r="H4413">
            <v>-0.10076</v>
          </cell>
          <cell r="I4413">
            <v>-0.22581000000000001</v>
          </cell>
          <cell r="J4413">
            <v>0.17768</v>
          </cell>
          <cell r="K4413">
            <v>7.3279999999999998E-2</v>
          </cell>
          <cell r="L4413">
            <v>-3.8999999999999998E-3</v>
          </cell>
          <cell r="M4413">
            <v>1.1849999999999999E-2</v>
          </cell>
          <cell r="N4413">
            <v>-4.5100000000000001E-3</v>
          </cell>
          <cell r="O4413">
            <v>1.23E-3</v>
          </cell>
          <cell r="P4413">
            <v>1.2800000000000001E-3</v>
          </cell>
          <cell r="Q4413">
            <v>-7.8600000000000007E-3</v>
          </cell>
          <cell r="R4413">
            <v>-5.8599999999999998E-3</v>
          </cell>
          <cell r="S4413">
            <v>-5.4999999999999997E-3</v>
          </cell>
          <cell r="T4413">
            <v>-1.405E-2</v>
          </cell>
          <cell r="U4413">
            <v>-1.7930000000000001E-2</v>
          </cell>
          <cell r="V4413">
            <v>-1.7520000000000001E-2</v>
          </cell>
          <cell r="W4413">
            <v>-1.41E-2</v>
          </cell>
          <cell r="Y4413">
            <v>3.5659999999999997E-2</v>
          </cell>
          <cell r="Z4413">
            <v>1.1440000000000001E-2</v>
          </cell>
          <cell r="AA4413">
            <v>-9.7960000000000005E-2</v>
          </cell>
          <cell r="AB4413">
            <v>-0.21454999999999999</v>
          </cell>
          <cell r="AC4413">
            <v>0.12748000000000001</v>
          </cell>
          <cell r="AD4413">
            <v>3.5630000000000002E-2</v>
          </cell>
          <cell r="AE4413">
            <v>3.1099999999999999E-3</v>
          </cell>
          <cell r="AF4413">
            <v>2.1199999999999999E-3</v>
          </cell>
          <cell r="AG4413">
            <v>2.9099999999999998E-3</v>
          </cell>
          <cell r="AH4413">
            <v>-7.9000000000000001E-4</v>
          </cell>
          <cell r="AI4413">
            <v>3.65E-3</v>
          </cell>
          <cell r="AJ4413">
            <v>5.6100000000000004E-3</v>
          </cell>
          <cell r="AK4413">
            <v>-1.65E-3</v>
          </cell>
          <cell r="AL4413">
            <v>-3.1900000000000001E-3</v>
          </cell>
          <cell r="AM4413">
            <v>-1.915E-2</v>
          </cell>
          <cell r="AN4413">
            <v>-2.53E-2</v>
          </cell>
          <cell r="AO4413">
            <v>-1.8259999999999998E-2</v>
          </cell>
          <cell r="AP4413">
            <v>1.324E-2</v>
          </cell>
        </row>
        <row r="4414">
          <cell r="D4414" t="str">
            <v>燕市</v>
          </cell>
          <cell r="E4414" t="str">
            <v>2040→2045</v>
          </cell>
          <cell r="F4414">
            <v>-1.2869999999999999E-2</v>
          </cell>
          <cell r="G4414">
            <v>1.9539999999999998E-2</v>
          </cell>
          <cell r="H4414">
            <v>-0.10104</v>
          </cell>
          <cell r="I4414">
            <v>-0.22656999999999999</v>
          </cell>
          <cell r="J4414">
            <v>0.17735000000000001</v>
          </cell>
          <cell r="K4414">
            <v>7.3590000000000003E-2</v>
          </cell>
          <cell r="L4414">
            <v>-4.96E-3</v>
          </cell>
          <cell r="M4414">
            <v>9.0100000000000006E-3</v>
          </cell>
          <cell r="N4414">
            <v>-5.8900000000000003E-3</v>
          </cell>
          <cell r="O4414">
            <v>1.15E-3</v>
          </cell>
          <cell r="P4414">
            <v>1.57E-3</v>
          </cell>
          <cell r="Q4414">
            <v>-7.8499999999999993E-3</v>
          </cell>
          <cell r="R4414">
            <v>-5.3699999999999998E-3</v>
          </cell>
          <cell r="S4414">
            <v>-6.1599999999999997E-3</v>
          </cell>
          <cell r="T4414">
            <v>-1.376E-2</v>
          </cell>
          <cell r="U4414">
            <v>-1.7489999999999999E-2</v>
          </cell>
          <cell r="V4414">
            <v>-1.5990000000000001E-2</v>
          </cell>
          <cell r="W4414">
            <v>-3.5180000000000003E-2</v>
          </cell>
          <cell r="Y4414">
            <v>3.5009999999999999E-2</v>
          </cell>
          <cell r="Z4414">
            <v>1.1209999999999999E-2</v>
          </cell>
          <cell r="AA4414">
            <v>-9.8320000000000005E-2</v>
          </cell>
          <cell r="AB4414">
            <v>-0.21537000000000001</v>
          </cell>
          <cell r="AC4414">
            <v>0.12726999999999999</v>
          </cell>
          <cell r="AD4414">
            <v>3.526E-2</v>
          </cell>
          <cell r="AE4414">
            <v>2.1700000000000001E-3</v>
          </cell>
          <cell r="AF4414">
            <v>3.8999999999999999E-4</v>
          </cell>
          <cell r="AG4414">
            <v>1.6000000000000001E-3</v>
          </cell>
          <cell r="AH4414">
            <v>-8.3000000000000001E-4</v>
          </cell>
          <cell r="AI4414">
            <v>3.96E-3</v>
          </cell>
          <cell r="AJ4414">
            <v>5.6299999999999996E-3</v>
          </cell>
          <cell r="AK4414">
            <v>-1.24E-3</v>
          </cell>
          <cell r="AL4414">
            <v>-3.3700000000000002E-3</v>
          </cell>
          <cell r="AM4414">
            <v>-1.8919999999999999E-2</v>
          </cell>
          <cell r="AN4414">
            <v>-2.5250000000000002E-2</v>
          </cell>
          <cell r="AO4414">
            <v>-1.7819999999999999E-2</v>
          </cell>
          <cell r="AP4414">
            <v>-7.4000000000000003E-3</v>
          </cell>
        </row>
        <row r="4415">
          <cell r="D4415" t="str">
            <v>糸魚川市</v>
          </cell>
          <cell r="E4415" t="str">
            <v>2015→2020</v>
          </cell>
          <cell r="F4415">
            <v>-3.7780000000000001E-2</v>
          </cell>
          <cell r="G4415">
            <v>1.54E-2</v>
          </cell>
          <cell r="H4415">
            <v>-0.15964999999999999</v>
          </cell>
          <cell r="I4415">
            <v>-0.33006999999999997</v>
          </cell>
          <cell r="J4415">
            <v>0.22808999999999999</v>
          </cell>
          <cell r="K4415">
            <v>-5.1490000000000001E-2</v>
          </cell>
          <cell r="L4415">
            <v>-2.3380000000000001E-2</v>
          </cell>
          <cell r="M4415">
            <v>-1.1220000000000001E-2</v>
          </cell>
          <cell r="N4415">
            <v>-3.3110000000000001E-2</v>
          </cell>
          <cell r="O4415">
            <v>4.1000000000000003E-3</v>
          </cell>
          <cell r="P4415">
            <v>-1.0160000000000001E-2</v>
          </cell>
          <cell r="Q4415">
            <v>-2.9610000000000001E-2</v>
          </cell>
          <cell r="R4415">
            <v>-3.2699999999999999E-3</v>
          </cell>
          <cell r="S4415">
            <v>1.242E-2</v>
          </cell>
          <cell r="T4415">
            <v>3.1700000000000001E-3</v>
          </cell>
          <cell r="U4415">
            <v>3.6000000000000002E-4</v>
          </cell>
          <cell r="V4415">
            <v>-1.0699999999999999E-2</v>
          </cell>
          <cell r="W4415">
            <v>3.9710000000000002E-2</v>
          </cell>
          <cell r="Y4415">
            <v>-3.9469999999999998E-2</v>
          </cell>
          <cell r="Z4415">
            <v>-1.01E-3</v>
          </cell>
          <cell r="AA4415">
            <v>-0.21944</v>
          </cell>
          <cell r="AB4415">
            <v>-0.38865</v>
          </cell>
          <cell r="AC4415">
            <v>0.22789999999999999</v>
          </cell>
          <cell r="AD4415">
            <v>-2.4129999999999999E-2</v>
          </cell>
          <cell r="AE4415">
            <v>-1.7760000000000001E-2</v>
          </cell>
          <cell r="AF4415">
            <v>-1.3339999999999999E-2</v>
          </cell>
          <cell r="AG4415">
            <v>7.2199999999999999E-3</v>
          </cell>
          <cell r="AH4415">
            <v>-1.6320000000000001E-2</v>
          </cell>
          <cell r="AI4415">
            <v>6.77E-3</v>
          </cell>
          <cell r="AJ4415">
            <v>-1.3999999999999999E-4</v>
          </cell>
          <cell r="AK4415">
            <v>6.7299999999999999E-3</v>
          </cell>
          <cell r="AL4415">
            <v>-7.7499999999999999E-3</v>
          </cell>
          <cell r="AM4415">
            <v>-1.5100000000000001E-2</v>
          </cell>
          <cell r="AN4415">
            <v>-1.213E-2</v>
          </cell>
          <cell r="AO4415">
            <v>-4.1480000000000003E-2</v>
          </cell>
          <cell r="AP4415">
            <v>2.257E-2</v>
          </cell>
        </row>
        <row r="4416">
          <cell r="D4416" t="str">
            <v>糸魚川市</v>
          </cell>
          <cell r="E4416" t="str">
            <v>2020→2025</v>
          </cell>
          <cell r="F4416">
            <v>-3.7170000000000002E-2</v>
          </cell>
          <cell r="G4416">
            <v>1.6500000000000001E-2</v>
          </cell>
          <cell r="H4416">
            <v>-0.15995999999999999</v>
          </cell>
          <cell r="I4416">
            <v>-0.33056999999999997</v>
          </cell>
          <cell r="J4416">
            <v>0.23211999999999999</v>
          </cell>
          <cell r="K4416">
            <v>-4.7690000000000003E-2</v>
          </cell>
          <cell r="L4416">
            <v>-2.164E-2</v>
          </cell>
          <cell r="M4416">
            <v>-1.0330000000000001E-2</v>
          </cell>
          <cell r="N4416">
            <v>-3.1800000000000002E-2</v>
          </cell>
          <cell r="O4416">
            <v>4.2900000000000004E-3</v>
          </cell>
          <cell r="P4416">
            <v>-9.3900000000000008E-3</v>
          </cell>
          <cell r="Q4416">
            <v>-2.9590000000000002E-2</v>
          </cell>
          <cell r="R4416">
            <v>-2.4499999999999999E-3</v>
          </cell>
          <cell r="S4416">
            <v>1.15E-2</v>
          </cell>
          <cell r="T4416">
            <v>6.4700000000000001E-3</v>
          </cell>
          <cell r="U4416">
            <v>-1.57E-3</v>
          </cell>
          <cell r="V4416">
            <v>-1.2579999999999999E-2</v>
          </cell>
          <cell r="W4416">
            <v>3.2680000000000001E-2</v>
          </cell>
          <cell r="Y4416">
            <v>-3.841E-2</v>
          </cell>
          <cell r="Z4416">
            <v>5.0000000000000002E-5</v>
          </cell>
          <cell r="AA4416">
            <v>-0.21944</v>
          </cell>
          <cell r="AB4416">
            <v>-0.38895999999999997</v>
          </cell>
          <cell r="AC4416">
            <v>0.22796</v>
          </cell>
          <cell r="AD4416">
            <v>-2.086E-2</v>
          </cell>
          <cell r="AE4416">
            <v>-1.5140000000000001E-2</v>
          </cell>
          <cell r="AF4416">
            <v>-1.255E-2</v>
          </cell>
          <cell r="AG4416">
            <v>9.1000000000000004E-3</v>
          </cell>
          <cell r="AH4416">
            <v>-1.5640000000000001E-2</v>
          </cell>
          <cell r="AI4416">
            <v>7.3800000000000003E-3</v>
          </cell>
          <cell r="AJ4416">
            <v>3.1E-4</v>
          </cell>
          <cell r="AK4416">
            <v>6.8399999999999997E-3</v>
          </cell>
          <cell r="AL4416">
            <v>-8.1099999999999992E-3</v>
          </cell>
          <cell r="AM4416">
            <v>-1.371E-2</v>
          </cell>
          <cell r="AN4416">
            <v>-1.273E-2</v>
          </cell>
          <cell r="AO4416">
            <v>-4.2509999999999999E-2</v>
          </cell>
          <cell r="AP4416">
            <v>1.592E-2</v>
          </cell>
        </row>
        <row r="4417">
          <cell r="D4417" t="str">
            <v>糸魚川市</v>
          </cell>
          <cell r="E4417" t="str">
            <v>2025→2030</v>
          </cell>
          <cell r="F4417">
            <v>-3.6589999999999998E-2</v>
          </cell>
          <cell r="G4417">
            <v>1.6879999999999999E-2</v>
          </cell>
          <cell r="H4417">
            <v>-0.15991</v>
          </cell>
          <cell r="I4417">
            <v>-0.33098</v>
          </cell>
          <cell r="J4417">
            <v>0.23066999999999999</v>
          </cell>
          <cell r="K4417">
            <v>-4.7500000000000001E-2</v>
          </cell>
          <cell r="L4417">
            <v>-2.0840000000000001E-2</v>
          </cell>
          <cell r="M4417">
            <v>-9.75E-3</v>
          </cell>
          <cell r="N4417">
            <v>-3.1629999999999998E-2</v>
          </cell>
          <cell r="O4417">
            <v>5.94E-3</v>
          </cell>
          <cell r="P4417">
            <v>-9.5899999999999996E-3</v>
          </cell>
          <cell r="Q4417">
            <v>-2.9569999999999999E-2</v>
          </cell>
          <cell r="R4417">
            <v>-1.9499999999999999E-3</v>
          </cell>
          <cell r="S4417">
            <v>1.1820000000000001E-2</v>
          </cell>
          <cell r="T4417">
            <v>4.1000000000000003E-3</v>
          </cell>
          <cell r="U4417">
            <v>3.4399999999999999E-3</v>
          </cell>
          <cell r="V4417">
            <v>-1.545E-2</v>
          </cell>
          <cell r="W4417">
            <v>2.4989999999999998E-2</v>
          </cell>
          <cell r="Y4417">
            <v>-3.7589999999999998E-2</v>
          </cell>
          <cell r="Z4417">
            <v>5.5000000000000003E-4</v>
          </cell>
          <cell r="AA4417">
            <v>-0.21944</v>
          </cell>
          <cell r="AB4417">
            <v>-0.38921</v>
          </cell>
          <cell r="AC4417">
            <v>0.22638</v>
          </cell>
          <cell r="AD4417">
            <v>-2.146E-2</v>
          </cell>
          <cell r="AE4417">
            <v>-1.3899999999999999E-2</v>
          </cell>
          <cell r="AF4417">
            <v>-1.166E-2</v>
          </cell>
          <cell r="AG4417">
            <v>9.41E-3</v>
          </cell>
          <cell r="AH4417">
            <v>-1.515E-2</v>
          </cell>
          <cell r="AI4417">
            <v>7.7299999999999999E-3</v>
          </cell>
          <cell r="AJ4417">
            <v>6.8000000000000005E-4</v>
          </cell>
          <cell r="AK4417">
            <v>6.8900000000000003E-3</v>
          </cell>
          <cell r="AL4417">
            <v>-8.0099999999999998E-3</v>
          </cell>
          <cell r="AM4417">
            <v>-1.5259999999999999E-2</v>
          </cell>
          <cell r="AN4417">
            <v>-9.9900000000000006E-3</v>
          </cell>
          <cell r="AO4417">
            <v>-4.3810000000000002E-2</v>
          </cell>
          <cell r="AP4417">
            <v>6.4599999999999996E-3</v>
          </cell>
        </row>
        <row r="4418">
          <cell r="D4418" t="str">
            <v>糸魚川市</v>
          </cell>
          <cell r="E4418" t="str">
            <v>2030→2035</v>
          </cell>
          <cell r="F4418">
            <v>-3.6200000000000003E-2</v>
          </cell>
          <cell r="G4418">
            <v>1.737E-2</v>
          </cell>
          <cell r="H4418">
            <v>-0.16</v>
          </cell>
          <cell r="I4418">
            <v>-0.33102999999999999</v>
          </cell>
          <cell r="J4418">
            <v>0.23358000000000001</v>
          </cell>
          <cell r="K4418">
            <v>-4.82E-2</v>
          </cell>
          <cell r="L4418">
            <v>-2.1059999999999999E-2</v>
          </cell>
          <cell r="M4418">
            <v>-9.4000000000000004E-3</v>
          </cell>
          <cell r="N4418">
            <v>-3.1399999999999997E-2</v>
          </cell>
          <cell r="O4418">
            <v>6.2599999999999999E-3</v>
          </cell>
          <cell r="P4418">
            <v>-8.9099999999999995E-3</v>
          </cell>
          <cell r="Q4418">
            <v>-2.9569999999999999E-2</v>
          </cell>
          <cell r="R4418">
            <v>-1.23E-3</v>
          </cell>
          <cell r="S4418">
            <v>1.1730000000000001E-2</v>
          </cell>
          <cell r="T4418">
            <v>4.7299999999999998E-3</v>
          </cell>
          <cell r="U4418">
            <v>-1.5100000000000001E-3</v>
          </cell>
          <cell r="V4418">
            <v>-8.3300000000000006E-3</v>
          </cell>
          <cell r="W4418">
            <v>2.163E-2</v>
          </cell>
          <cell r="Y4418">
            <v>-3.705E-2</v>
          </cell>
          <cell r="Z4418">
            <v>1.06E-3</v>
          </cell>
          <cell r="AA4418">
            <v>-0.21944</v>
          </cell>
          <cell r="AB4418">
            <v>-0.38936999999999999</v>
          </cell>
          <cell r="AC4418">
            <v>0.2283</v>
          </cell>
          <cell r="AD4418">
            <v>-2.2370000000000001E-2</v>
          </cell>
          <cell r="AE4418">
            <v>-1.451E-2</v>
          </cell>
          <cell r="AF4418">
            <v>-1.1299999999999999E-2</v>
          </cell>
          <cell r="AG4418">
            <v>1.0019999999999999E-2</v>
          </cell>
          <cell r="AH4418">
            <v>-1.504E-2</v>
          </cell>
          <cell r="AI4418">
            <v>8.2000000000000007E-3</v>
          </cell>
          <cell r="AJ4418">
            <v>8.4000000000000003E-4</v>
          </cell>
          <cell r="AK4418">
            <v>7.2399999999999999E-3</v>
          </cell>
          <cell r="AL4418">
            <v>-8.0599999999999995E-3</v>
          </cell>
          <cell r="AM4418">
            <v>-1.485E-2</v>
          </cell>
          <cell r="AN4418">
            <v>-1.3100000000000001E-2</v>
          </cell>
          <cell r="AO4418">
            <v>-3.9050000000000001E-2</v>
          </cell>
          <cell r="AP4418">
            <v>4.1399999999999996E-3</v>
          </cell>
        </row>
        <row r="4419">
          <cell r="D4419" t="str">
            <v>糸魚川市</v>
          </cell>
          <cell r="E4419" t="str">
            <v>2035→2040</v>
          </cell>
          <cell r="F4419">
            <v>-3.5839999999999997E-2</v>
          </cell>
          <cell r="G4419">
            <v>1.762E-2</v>
          </cell>
          <cell r="H4419">
            <v>-0.16006999999999999</v>
          </cell>
          <cell r="I4419">
            <v>-0.33123000000000002</v>
          </cell>
          <cell r="J4419">
            <v>0.23694000000000001</v>
          </cell>
          <cell r="K4419">
            <v>-4.7840000000000001E-2</v>
          </cell>
          <cell r="L4419">
            <v>-2.188E-2</v>
          </cell>
          <cell r="M4419">
            <v>-9.7300000000000008E-3</v>
          </cell>
          <cell r="N4419">
            <v>-3.1289999999999998E-2</v>
          </cell>
          <cell r="O4419">
            <v>6.77E-3</v>
          </cell>
          <cell r="P4419">
            <v>-8.7600000000000004E-3</v>
          </cell>
          <cell r="Q4419">
            <v>-2.9559999999999999E-2</v>
          </cell>
          <cell r="R4419">
            <v>-1.8400000000000001E-3</v>
          </cell>
          <cell r="S4419">
            <v>1.226E-2</v>
          </cell>
          <cell r="T4419">
            <v>4.8199999999999996E-3</v>
          </cell>
          <cell r="U4419">
            <v>-1.4999999999999999E-4</v>
          </cell>
          <cell r="V4419">
            <v>-1.524E-2</v>
          </cell>
          <cell r="W4419">
            <v>3.1899999999999998E-2</v>
          </cell>
          <cell r="Y4419">
            <v>-3.6569999999999998E-2</v>
          </cell>
          <cell r="Z4419">
            <v>1.2999999999999999E-3</v>
          </cell>
          <cell r="AA4419">
            <v>-0.21944</v>
          </cell>
          <cell r="AB4419">
            <v>-0.38941999999999999</v>
          </cell>
          <cell r="AC4419">
            <v>0.22997000000000001</v>
          </cell>
          <cell r="AD4419">
            <v>-2.1590000000000002E-2</v>
          </cell>
          <cell r="AE4419">
            <v>-1.5219999999999999E-2</v>
          </cell>
          <cell r="AF4419">
            <v>-1.1780000000000001E-2</v>
          </cell>
          <cell r="AG4419">
            <v>1.021E-2</v>
          </cell>
          <cell r="AH4419">
            <v>-1.4710000000000001E-2</v>
          </cell>
          <cell r="AI4419">
            <v>8.3300000000000006E-3</v>
          </cell>
          <cell r="AJ4419">
            <v>1.09E-3</v>
          </cell>
          <cell r="AK4419">
            <v>7.3699999999999998E-3</v>
          </cell>
          <cell r="AL4419">
            <v>-8.0000000000000002E-3</v>
          </cell>
          <cell r="AM4419">
            <v>-1.4590000000000001E-2</v>
          </cell>
          <cell r="AN4419">
            <v>-1.2279999999999999E-2</v>
          </cell>
          <cell r="AO4419">
            <v>-4.4540000000000003E-2</v>
          </cell>
          <cell r="AP4419">
            <v>1.4149999999999999E-2</v>
          </cell>
        </row>
        <row r="4420">
          <cell r="D4420" t="str">
            <v>糸魚川市</v>
          </cell>
          <cell r="E4420" t="str">
            <v>2040→2045</v>
          </cell>
          <cell r="F4420">
            <v>-3.56E-2</v>
          </cell>
          <cell r="G4420">
            <v>1.7840000000000002E-2</v>
          </cell>
          <cell r="H4420">
            <v>-0.16041</v>
          </cell>
          <cell r="I4420">
            <v>-0.33151000000000003</v>
          </cell>
          <cell r="J4420">
            <v>0.23851</v>
          </cell>
          <cell r="K4420">
            <v>-4.7039999999999998E-2</v>
          </cell>
          <cell r="L4420">
            <v>-2.1569999999999999E-2</v>
          </cell>
          <cell r="M4420">
            <v>-1.038E-2</v>
          </cell>
          <cell r="N4420">
            <v>-3.15E-2</v>
          </cell>
          <cell r="O4420">
            <v>7.1700000000000002E-3</v>
          </cell>
          <cell r="P4420">
            <v>-8.4700000000000001E-3</v>
          </cell>
          <cell r="Q4420">
            <v>-2.955E-2</v>
          </cell>
          <cell r="R4420">
            <v>-1.4499999999999999E-3</v>
          </cell>
          <cell r="S4420">
            <v>1.1429999999999999E-2</v>
          </cell>
          <cell r="T4420">
            <v>5.3600000000000002E-3</v>
          </cell>
          <cell r="U4420">
            <v>4.0000000000000002E-4</v>
          </cell>
          <cell r="V4420">
            <v>-1.3180000000000001E-2</v>
          </cell>
          <cell r="W4420">
            <v>9.8600000000000007E-3</v>
          </cell>
          <cell r="Y4420">
            <v>-3.6260000000000001E-2</v>
          </cell>
          <cell r="Z4420">
            <v>1.5E-3</v>
          </cell>
          <cell r="AA4420">
            <v>-0.21944</v>
          </cell>
          <cell r="AB4420">
            <v>-0.38963999999999999</v>
          </cell>
          <cell r="AC4420">
            <v>0.23200999999999999</v>
          </cell>
          <cell r="AD4420">
            <v>-2.0400000000000001E-2</v>
          </cell>
          <cell r="AE4420">
            <v>-1.4710000000000001E-2</v>
          </cell>
          <cell r="AF4420">
            <v>-1.221E-2</v>
          </cell>
          <cell r="AG4420">
            <v>9.7599999999999996E-3</v>
          </cell>
          <cell r="AH4420">
            <v>-1.4489999999999999E-2</v>
          </cell>
          <cell r="AI4420">
            <v>8.8500000000000002E-3</v>
          </cell>
          <cell r="AJ4420">
            <v>1.2099999999999999E-3</v>
          </cell>
          <cell r="AK4420">
            <v>7.9600000000000001E-3</v>
          </cell>
          <cell r="AL4420">
            <v>-8.1799999999999998E-3</v>
          </cell>
          <cell r="AM4420">
            <v>-1.4370000000000001E-2</v>
          </cell>
          <cell r="AN4420">
            <v>-1.1730000000000001E-2</v>
          </cell>
          <cell r="AO4420">
            <v>-4.2979999999999997E-2</v>
          </cell>
          <cell r="AP4420">
            <v>-7.5100000000000002E-3</v>
          </cell>
        </row>
        <row r="4421">
          <cell r="D4421" t="str">
            <v>妙高市</v>
          </cell>
          <cell r="E4421" t="str">
            <v>2015→2020</v>
          </cell>
          <cell r="F4421">
            <v>-6.77E-3</v>
          </cell>
          <cell r="G4421">
            <v>3.7799999999999999E-3</v>
          </cell>
          <cell r="H4421">
            <v>-0.11874</v>
          </cell>
          <cell r="I4421">
            <v>-0.31730000000000003</v>
          </cell>
          <cell r="J4421">
            <v>0.16342000000000001</v>
          </cell>
          <cell r="K4421">
            <v>2.1499999999999998E-2</v>
          </cell>
          <cell r="L4421">
            <v>-2.5860000000000001E-2</v>
          </cell>
          <cell r="M4421">
            <v>-4.13E-3</v>
          </cell>
          <cell r="N4421">
            <v>-3.3610000000000001E-2</v>
          </cell>
          <cell r="O4421">
            <v>-1.9140000000000001E-2</v>
          </cell>
          <cell r="P4421">
            <v>-1.6029999999999999E-2</v>
          </cell>
          <cell r="Q4421">
            <v>2.0539999999999999E-2</v>
          </cell>
          <cell r="R4421">
            <v>9.6299999999999997E-3</v>
          </cell>
          <cell r="S4421">
            <v>-1.0200000000000001E-3</v>
          </cell>
          <cell r="T4421">
            <v>-2.4119999999999999E-2</v>
          </cell>
          <cell r="U4421">
            <v>-1.9720000000000001E-2</v>
          </cell>
          <cell r="V4421">
            <v>-7.1300000000000001E-3</v>
          </cell>
          <cell r="W4421">
            <v>3.526E-2</v>
          </cell>
          <cell r="Y4421">
            <v>-1.12E-2</v>
          </cell>
          <cell r="Z4421">
            <v>-1.6060000000000001E-2</v>
          </cell>
          <cell r="AA4421">
            <v>-0.17257</v>
          </cell>
          <cell r="AB4421">
            <v>-0.34162999999999999</v>
          </cell>
          <cell r="AC4421">
            <v>5.4089999999999999E-2</v>
          </cell>
          <cell r="AD4421">
            <v>1.4840000000000001E-2</v>
          </cell>
          <cell r="AE4421">
            <v>-3.2530000000000003E-2</v>
          </cell>
          <cell r="AF4421">
            <v>-8.3800000000000003E-3</v>
          </cell>
          <cell r="AG4421">
            <v>-1.081E-2</v>
          </cell>
          <cell r="AH4421">
            <v>-1.7979999999999999E-2</v>
          </cell>
          <cell r="AI4421">
            <v>-6.6E-3</v>
          </cell>
          <cell r="AJ4421">
            <v>-4.7200000000000002E-3</v>
          </cell>
          <cell r="AK4421">
            <v>-1.5679999999999999E-2</v>
          </cell>
          <cell r="AL4421">
            <v>-3.3930000000000002E-2</v>
          </cell>
          <cell r="AM4421">
            <v>-8.7399999999999995E-3</v>
          </cell>
          <cell r="AN4421">
            <v>4.7699999999999999E-3</v>
          </cell>
          <cell r="AO4421">
            <v>-4.8900000000000002E-3</v>
          </cell>
          <cell r="AP4421">
            <v>5.033E-2</v>
          </cell>
        </row>
        <row r="4422">
          <cell r="D4422" t="str">
            <v>妙高市</v>
          </cell>
          <cell r="E4422" t="str">
            <v>2020→2025</v>
          </cell>
          <cell r="F4422">
            <v>-6.2399999999999999E-3</v>
          </cell>
          <cell r="G4422">
            <v>4.64E-3</v>
          </cell>
          <cell r="H4422">
            <v>-0.11953999999999999</v>
          </cell>
          <cell r="I4422">
            <v>-0.31795000000000001</v>
          </cell>
          <cell r="J4422">
            <v>0.18325</v>
          </cell>
          <cell r="K4422">
            <v>1.5599999999999999E-2</v>
          </cell>
          <cell r="L4422">
            <v>-2.3349999999999999E-2</v>
          </cell>
          <cell r="M4422">
            <v>-3.8999999999999999E-4</v>
          </cell>
          <cell r="N4422">
            <v>-3.0360000000000002E-2</v>
          </cell>
          <cell r="O4422">
            <v>-1.9279999999999999E-2</v>
          </cell>
          <cell r="P4422">
            <v>-1.5509999999999999E-2</v>
          </cell>
          <cell r="Q4422">
            <v>2.1059999999999999E-2</v>
          </cell>
          <cell r="R4422">
            <v>1.12E-2</v>
          </cell>
          <cell r="S4422">
            <v>-2.9099999999999998E-3</v>
          </cell>
          <cell r="T4422">
            <v>-2.1680000000000001E-2</v>
          </cell>
          <cell r="U4422">
            <v>-2.146E-2</v>
          </cell>
          <cell r="V4422">
            <v>-9.5600000000000008E-3</v>
          </cell>
          <cell r="W4422">
            <v>2.776E-2</v>
          </cell>
          <cell r="Y4422">
            <v>-9.1500000000000001E-3</v>
          </cell>
          <cell r="Z4422">
            <v>-1.5679999999999999E-2</v>
          </cell>
          <cell r="AA4422">
            <v>-0.17258000000000001</v>
          </cell>
          <cell r="AB4422">
            <v>-0.34205999999999998</v>
          </cell>
          <cell r="AC4422">
            <v>5.21E-2</v>
          </cell>
          <cell r="AD4422">
            <v>3.5589999999999997E-2</v>
          </cell>
          <cell r="AE4422">
            <v>-2.8899999999999999E-2</v>
          </cell>
          <cell r="AF4422">
            <v>-7.7000000000000002E-3</v>
          </cell>
          <cell r="AG4422">
            <v>-8.8800000000000007E-3</v>
          </cell>
          <cell r="AH4422">
            <v>-1.7899999999999999E-2</v>
          </cell>
          <cell r="AI4422">
            <v>-6.3200000000000001E-3</v>
          </cell>
          <cell r="AJ4422">
            <v>-4.5199999999999997E-3</v>
          </cell>
          <cell r="AK4422">
            <v>-1.5440000000000001E-2</v>
          </cell>
          <cell r="AL4422">
            <v>-3.4729999999999997E-2</v>
          </cell>
          <cell r="AM4422">
            <v>-7.0400000000000003E-3</v>
          </cell>
          <cell r="AN4422">
            <v>2.9399999999999999E-3</v>
          </cell>
          <cell r="AO4422">
            <v>-7.1999999999999998E-3</v>
          </cell>
          <cell r="AP4422">
            <v>4.2009999999999999E-2</v>
          </cell>
        </row>
        <row r="4423">
          <cell r="D4423" t="str">
            <v>妙高市</v>
          </cell>
          <cell r="E4423" t="str">
            <v>2025→2030</v>
          </cell>
          <cell r="F4423">
            <v>-5.4400000000000004E-3</v>
          </cell>
          <cell r="G4423">
            <v>4.5999999999999999E-3</v>
          </cell>
          <cell r="H4423">
            <v>-0.11989</v>
          </cell>
          <cell r="I4423">
            <v>-0.31892999999999999</v>
          </cell>
          <cell r="J4423">
            <v>0.18157000000000001</v>
          </cell>
          <cell r="K4423">
            <v>3.7170000000000002E-2</v>
          </cell>
          <cell r="L4423">
            <v>-2.513E-2</v>
          </cell>
          <cell r="M4423">
            <v>-1.9599999999999999E-3</v>
          </cell>
          <cell r="N4423">
            <v>-3.0339999999999999E-2</v>
          </cell>
          <cell r="O4423">
            <v>-1.7850000000000001E-2</v>
          </cell>
          <cell r="P4423">
            <v>-1.5939999999999999E-2</v>
          </cell>
          <cell r="Q4423">
            <v>2.247E-2</v>
          </cell>
          <cell r="R4423">
            <v>1.095E-2</v>
          </cell>
          <cell r="S4423">
            <v>-1.7600000000000001E-3</v>
          </cell>
          <cell r="T4423">
            <v>-2.4539999999999999E-2</v>
          </cell>
          <cell r="U4423">
            <v>-1.6899999999999998E-2</v>
          </cell>
          <cell r="V4423">
            <v>-1.252E-2</v>
          </cell>
          <cell r="W4423">
            <v>1.9279999999999999E-2</v>
          </cell>
          <cell r="Y4423">
            <v>-8.1099999999999992E-3</v>
          </cell>
          <cell r="Z4423">
            <v>-1.5310000000000001E-2</v>
          </cell>
          <cell r="AA4423">
            <v>-0.1726</v>
          </cell>
          <cell r="AB4423">
            <v>-0.34244999999999998</v>
          </cell>
          <cell r="AC4423">
            <v>4.8050000000000002E-2</v>
          </cell>
          <cell r="AD4423">
            <v>3.2649999999999998E-2</v>
          </cell>
          <cell r="AE4423">
            <v>-2.8049999999999999E-2</v>
          </cell>
          <cell r="AF4423">
            <v>-6.3200000000000001E-3</v>
          </cell>
          <cell r="AG4423">
            <v>-8.9099999999999995E-3</v>
          </cell>
          <cell r="AH4423">
            <v>-1.7430000000000001E-2</v>
          </cell>
          <cell r="AI4423">
            <v>-6.1599999999999997E-3</v>
          </cell>
          <cell r="AJ4423">
            <v>-4.3E-3</v>
          </cell>
          <cell r="AK4423">
            <v>-1.5089999999999999E-2</v>
          </cell>
          <cell r="AL4423">
            <v>-3.4520000000000002E-2</v>
          </cell>
          <cell r="AM4423">
            <v>-7.8899999999999994E-3</v>
          </cell>
          <cell r="AN4423">
            <v>6.3499999999999997E-3</v>
          </cell>
          <cell r="AO4423">
            <v>-1.005E-2</v>
          </cell>
          <cell r="AP4423">
            <v>3.0929999999999999E-2</v>
          </cell>
        </row>
        <row r="4424">
          <cell r="D4424" t="str">
            <v>妙高市</v>
          </cell>
          <cell r="E4424" t="str">
            <v>2030→2035</v>
          </cell>
          <cell r="F4424">
            <v>-5.2599999999999999E-3</v>
          </cell>
          <cell r="G4424">
            <v>4.9100000000000003E-3</v>
          </cell>
          <cell r="H4424">
            <v>-0.12039999999999999</v>
          </cell>
          <cell r="I4424">
            <v>-0.31947999999999999</v>
          </cell>
          <cell r="J4424">
            <v>0.18154000000000001</v>
          </cell>
          <cell r="K4424">
            <v>3.4810000000000001E-2</v>
          </cell>
          <cell r="L4424">
            <v>-2.2839999999999999E-2</v>
          </cell>
          <cell r="M4424">
            <v>-4.62E-3</v>
          </cell>
          <cell r="N4424">
            <v>-2.9739999999999999E-2</v>
          </cell>
          <cell r="O4424">
            <v>-1.7850000000000001E-2</v>
          </cell>
          <cell r="P4424">
            <v>-1.5219999999999999E-2</v>
          </cell>
          <cell r="Q4424">
            <v>2.1299999999999999E-2</v>
          </cell>
          <cell r="R4424">
            <v>1.171E-2</v>
          </cell>
          <cell r="S4424">
            <v>-1.0399999999999999E-3</v>
          </cell>
          <cell r="T4424">
            <v>-2.3769999999999999E-2</v>
          </cell>
          <cell r="U4424">
            <v>-2.2020000000000001E-2</v>
          </cell>
          <cell r="V4424">
            <v>-5.5999999999999999E-3</v>
          </cell>
          <cell r="W4424">
            <v>1.558E-2</v>
          </cell>
          <cell r="Y4424">
            <v>-7.8899999999999994E-3</v>
          </cell>
          <cell r="Z4424">
            <v>-1.5089999999999999E-2</v>
          </cell>
          <cell r="AA4424">
            <v>-0.1726</v>
          </cell>
          <cell r="AB4424">
            <v>-0.34281</v>
          </cell>
          <cell r="AC4424">
            <v>4.718E-2</v>
          </cell>
          <cell r="AD4424">
            <v>2.861E-2</v>
          </cell>
          <cell r="AE4424">
            <v>-3.0009999999999998E-2</v>
          </cell>
          <cell r="AF4424">
            <v>-6.2500000000000003E-3</v>
          </cell>
          <cell r="AG4424">
            <v>-8.3899999999999999E-3</v>
          </cell>
          <cell r="AH4424">
            <v>-1.7479999999999999E-2</v>
          </cell>
          <cell r="AI4424">
            <v>-5.64E-3</v>
          </cell>
          <cell r="AJ4424">
            <v>-4.2300000000000003E-3</v>
          </cell>
          <cell r="AK4424">
            <v>-1.504E-2</v>
          </cell>
          <cell r="AL4424">
            <v>-3.4369999999999998E-2</v>
          </cell>
          <cell r="AM4424">
            <v>-7.7999999999999996E-3</v>
          </cell>
          <cell r="AN4424">
            <v>4.6800000000000001E-3</v>
          </cell>
          <cell r="AO4424">
            <v>-4.47E-3</v>
          </cell>
          <cell r="AP4424">
            <v>2.7189999999999999E-2</v>
          </cell>
        </row>
        <row r="4425">
          <cell r="D4425" t="str">
            <v>妙高市</v>
          </cell>
          <cell r="E4425" t="str">
            <v>2035→2040</v>
          </cell>
          <cell r="F4425">
            <v>-5.0299999999999997E-3</v>
          </cell>
          <cell r="G4425">
            <v>4.81E-3</v>
          </cell>
          <cell r="H4425">
            <v>-0.12071</v>
          </cell>
          <cell r="I4425">
            <v>-0.32018000000000002</v>
          </cell>
          <cell r="J4425">
            <v>0.18198</v>
          </cell>
          <cell r="K4425">
            <v>3.3450000000000001E-2</v>
          </cell>
          <cell r="L4425">
            <v>-2.4299999999999999E-2</v>
          </cell>
          <cell r="M4425">
            <v>3.3E-4</v>
          </cell>
          <cell r="N4425">
            <v>-2.947E-2</v>
          </cell>
          <cell r="O4425">
            <v>-1.737E-2</v>
          </cell>
          <cell r="P4425">
            <v>-1.525E-2</v>
          </cell>
          <cell r="Q4425">
            <v>2.2530000000000001E-2</v>
          </cell>
          <cell r="R4425">
            <v>1.077E-2</v>
          </cell>
          <cell r="S4425">
            <v>-2.0000000000000002E-5</v>
          </cell>
          <cell r="T4425">
            <v>-2.3369999999999998E-2</v>
          </cell>
          <cell r="U4425">
            <v>-2.0570000000000001E-2</v>
          </cell>
          <cell r="V4425">
            <v>-1.268E-2</v>
          </cell>
          <cell r="W4425">
            <v>2.537E-2</v>
          </cell>
          <cell r="Y4425">
            <v>-7.6400000000000001E-3</v>
          </cell>
          <cell r="Z4425">
            <v>-1.519E-2</v>
          </cell>
          <cell r="AA4425">
            <v>-0.17261000000000001</v>
          </cell>
          <cell r="AB4425">
            <v>-0.34287000000000001</v>
          </cell>
          <cell r="AC4425">
            <v>4.5269999999999998E-2</v>
          </cell>
          <cell r="AD4425">
            <v>2.7550000000000002E-2</v>
          </cell>
          <cell r="AE4425">
            <v>-3.2390000000000002E-2</v>
          </cell>
          <cell r="AF4425">
            <v>-7.7000000000000002E-3</v>
          </cell>
          <cell r="AG4425">
            <v>-8.4499999999999992E-3</v>
          </cell>
          <cell r="AH4425">
            <v>-1.721E-2</v>
          </cell>
          <cell r="AI4425">
            <v>-5.7499999999999999E-3</v>
          </cell>
          <cell r="AJ4425">
            <v>-3.9399999999999999E-3</v>
          </cell>
          <cell r="AK4425">
            <v>-1.5140000000000001E-2</v>
          </cell>
          <cell r="AL4425">
            <v>-3.4259999999999999E-2</v>
          </cell>
          <cell r="AM4425">
            <v>-8.1099999999999992E-3</v>
          </cell>
          <cell r="AN4425">
            <v>4.5799999999999999E-3</v>
          </cell>
          <cell r="AO4425">
            <v>-8.4899999999999993E-3</v>
          </cell>
          <cell r="AP4425">
            <v>3.6920000000000001E-2</v>
          </cell>
        </row>
        <row r="4426">
          <cell r="D4426" t="str">
            <v>妙高市</v>
          </cell>
          <cell r="E4426" t="str">
            <v>2040→2045</v>
          </cell>
          <cell r="F4426">
            <v>-5.1200000000000004E-3</v>
          </cell>
          <cell r="G4426">
            <v>4.7400000000000003E-3</v>
          </cell>
          <cell r="H4426">
            <v>-0.12141</v>
          </cell>
          <cell r="I4426">
            <v>-0.32075999999999999</v>
          </cell>
          <cell r="J4426">
            <v>0.18089</v>
          </cell>
          <cell r="K4426">
            <v>3.329E-2</v>
          </cell>
          <cell r="L4426">
            <v>-2.4899999999999999E-2</v>
          </cell>
          <cell r="M4426">
            <v>-9.1E-4</v>
          </cell>
          <cell r="N4426">
            <v>-3.0120000000000001E-2</v>
          </cell>
          <cell r="O4426">
            <v>-1.702E-2</v>
          </cell>
          <cell r="P4426">
            <v>-1.4919999999999999E-2</v>
          </cell>
          <cell r="Q4426">
            <v>2.273E-2</v>
          </cell>
          <cell r="R4426">
            <v>1.1509999999999999E-2</v>
          </cell>
          <cell r="S4426">
            <v>-9.5E-4</v>
          </cell>
          <cell r="T4426">
            <v>-2.3E-2</v>
          </cell>
          <cell r="U4426">
            <v>-1.9949999999999999E-2</v>
          </cell>
          <cell r="V4426">
            <v>-1.0580000000000001E-2</v>
          </cell>
          <cell r="W4426">
            <v>3.2699999999999999E-3</v>
          </cell>
          <cell r="Y4426">
            <v>-7.8100000000000001E-3</v>
          </cell>
          <cell r="Z4426">
            <v>-1.5259999999999999E-2</v>
          </cell>
          <cell r="AA4426">
            <v>-0.17263000000000001</v>
          </cell>
          <cell r="AB4426">
            <v>-0.34311999999999998</v>
          </cell>
          <cell r="AC4426">
            <v>4.6690000000000002E-2</v>
          </cell>
          <cell r="AD4426">
            <v>2.6499999999999999E-2</v>
          </cell>
          <cell r="AE4426">
            <v>-3.2870000000000003E-2</v>
          </cell>
          <cell r="AF4426">
            <v>-9.1999999999999998E-3</v>
          </cell>
          <cell r="AG4426">
            <v>-9.2200000000000008E-3</v>
          </cell>
          <cell r="AH4426">
            <v>-1.711E-2</v>
          </cell>
          <cell r="AI4426">
            <v>-5.2399999999999999E-3</v>
          </cell>
          <cell r="AJ4426">
            <v>-3.9300000000000003E-3</v>
          </cell>
          <cell r="AK4426">
            <v>-1.4829999999999999E-2</v>
          </cell>
          <cell r="AL4426">
            <v>-3.4549999999999997E-2</v>
          </cell>
          <cell r="AM4426">
            <v>-8.09E-3</v>
          </cell>
          <cell r="AN4426">
            <v>3.9300000000000003E-3</v>
          </cell>
          <cell r="AO4426">
            <v>-7.9600000000000001E-3</v>
          </cell>
          <cell r="AP4426">
            <v>1.4919999999999999E-2</v>
          </cell>
        </row>
        <row r="4427">
          <cell r="D4427" t="str">
            <v>五泉市</v>
          </cell>
          <cell r="E4427" t="str">
            <v>2015→2020</v>
          </cell>
          <cell r="F4427">
            <v>2.7550000000000002E-2</v>
          </cell>
          <cell r="G4427">
            <v>5.7000000000000002E-3</v>
          </cell>
          <cell r="H4427">
            <v>-8.4669999999999995E-2</v>
          </cell>
          <cell r="I4427">
            <v>-0.28803000000000001</v>
          </cell>
          <cell r="J4427">
            <v>1.537E-2</v>
          </cell>
          <cell r="K4427">
            <v>-5.9670000000000001E-2</v>
          </cell>
          <cell r="L4427">
            <v>-9.5700000000000004E-3</v>
          </cell>
          <cell r="M4427">
            <v>-1.555E-2</v>
          </cell>
          <cell r="N4427">
            <v>-8.4999999999999995E-4</v>
          </cell>
          <cell r="O4427">
            <v>-1.6080000000000001E-2</v>
          </cell>
          <cell r="P4427">
            <v>4.7400000000000003E-3</v>
          </cell>
          <cell r="Q4427">
            <v>6.6400000000000001E-3</v>
          </cell>
          <cell r="R4427">
            <v>2.2699999999999999E-3</v>
          </cell>
          <cell r="S4427">
            <v>1.091E-2</v>
          </cell>
          <cell r="T4427">
            <v>-5.4000000000000001E-4</v>
          </cell>
          <cell r="U4427">
            <v>-3.5619999999999999E-2</v>
          </cell>
          <cell r="V4427">
            <v>-3.8100000000000002E-2</v>
          </cell>
          <cell r="W4427">
            <v>2.7480000000000001E-2</v>
          </cell>
          <cell r="Y4427">
            <v>3.6179999999999997E-2</v>
          </cell>
          <cell r="Z4427">
            <v>1.7520000000000001E-2</v>
          </cell>
          <cell r="AA4427">
            <v>-8.6540000000000006E-2</v>
          </cell>
          <cell r="AB4427">
            <v>-0.26138</v>
          </cell>
          <cell r="AC4427">
            <v>-5.219E-2</v>
          </cell>
          <cell r="AD4427">
            <v>-3.2320000000000002E-2</v>
          </cell>
          <cell r="AE4427">
            <v>-8.9999999999999993E-3</v>
          </cell>
          <cell r="AF4427">
            <v>-1.661E-2</v>
          </cell>
          <cell r="AG4427">
            <v>-4.3699999999999998E-3</v>
          </cell>
          <cell r="AH4427">
            <v>-3.5799999999999998E-3</v>
          </cell>
          <cell r="AI4427">
            <v>2.7699999999999999E-3</v>
          </cell>
          <cell r="AJ4427">
            <v>1.5900000000000001E-3</v>
          </cell>
          <cell r="AK4427">
            <v>-5.8599999999999998E-3</v>
          </cell>
          <cell r="AL4427">
            <v>-1.3679999999999999E-2</v>
          </cell>
          <cell r="AM4427">
            <v>-1.0540000000000001E-2</v>
          </cell>
          <cell r="AN4427">
            <v>-7.0499999999999998E-3</v>
          </cell>
          <cell r="AO4427">
            <v>-3.4599999999999999E-2</v>
          </cell>
          <cell r="AP4427">
            <v>3.022E-2</v>
          </cell>
        </row>
        <row r="4428">
          <cell r="D4428" t="str">
            <v>五泉市</v>
          </cell>
          <cell r="E4428" t="str">
            <v>2020→2025</v>
          </cell>
          <cell r="F4428">
            <v>2.887E-2</v>
          </cell>
          <cell r="G4428">
            <v>6.4799999999999996E-3</v>
          </cell>
          <cell r="H4428">
            <v>-8.4709999999999994E-2</v>
          </cell>
          <cell r="I4428">
            <v>-0.28803000000000001</v>
          </cell>
          <cell r="J4428">
            <v>1.2930000000000001E-2</v>
          </cell>
          <cell r="K4428">
            <v>-5.8599999999999999E-2</v>
          </cell>
          <cell r="L4428">
            <v>-7.7499999999999999E-3</v>
          </cell>
          <cell r="M4428">
            <v>-1.26E-2</v>
          </cell>
          <cell r="N4428">
            <v>2.3900000000000002E-3</v>
          </cell>
          <cell r="O4428">
            <v>-1.5800000000000002E-2</v>
          </cell>
          <cell r="P4428">
            <v>4.7999999999999996E-3</v>
          </cell>
          <cell r="Q4428">
            <v>6.6899999999999998E-3</v>
          </cell>
          <cell r="R4428">
            <v>3.0999999999999999E-3</v>
          </cell>
          <cell r="S4428">
            <v>9.8799999999999999E-3</v>
          </cell>
          <cell r="T4428">
            <v>2.64E-3</v>
          </cell>
          <cell r="U4428">
            <v>-3.7229999999999999E-2</v>
          </cell>
          <cell r="V4428">
            <v>-4.0059999999999998E-2</v>
          </cell>
          <cell r="W4428">
            <v>2.07E-2</v>
          </cell>
          <cell r="Y4428">
            <v>3.7670000000000002E-2</v>
          </cell>
          <cell r="Z4428">
            <v>1.8630000000000001E-2</v>
          </cell>
          <cell r="AA4428">
            <v>-8.6639999999999995E-2</v>
          </cell>
          <cell r="AB4428">
            <v>-0.26212999999999997</v>
          </cell>
          <cell r="AC4428">
            <v>-5.7239999999999999E-2</v>
          </cell>
          <cell r="AD4428">
            <v>-3.0470000000000001E-2</v>
          </cell>
          <cell r="AE4428">
            <v>-6.5199999999999998E-3</v>
          </cell>
          <cell r="AF4428">
            <v>-1.4E-2</v>
          </cell>
          <cell r="AG4428">
            <v>-2.5200000000000001E-3</v>
          </cell>
          <cell r="AH4428">
            <v>-3.31E-3</v>
          </cell>
          <cell r="AI4428">
            <v>2.6700000000000001E-3</v>
          </cell>
          <cell r="AJ4428">
            <v>1.6299999999999999E-3</v>
          </cell>
          <cell r="AK4428">
            <v>-5.45E-3</v>
          </cell>
          <cell r="AL4428">
            <v>-1.4279999999999999E-2</v>
          </cell>
          <cell r="AM4428">
            <v>-8.6899999999999998E-3</v>
          </cell>
          <cell r="AN4428">
            <v>-8.2100000000000003E-3</v>
          </cell>
          <cell r="AO4428">
            <v>-3.6089999999999997E-2</v>
          </cell>
          <cell r="AP4428">
            <v>2.3630000000000002E-2</v>
          </cell>
        </row>
        <row r="4429">
          <cell r="D4429" t="str">
            <v>五泉市</v>
          </cell>
          <cell r="E4429" t="str">
            <v>2025→2030</v>
          </cell>
          <cell r="F4429">
            <v>2.9870000000000001E-2</v>
          </cell>
          <cell r="G4429">
            <v>6.7299999999999999E-3</v>
          </cell>
          <cell r="H4429">
            <v>-8.4709999999999994E-2</v>
          </cell>
          <cell r="I4429">
            <v>-0.28803000000000001</v>
          </cell>
          <cell r="J4429">
            <v>8.5000000000000006E-3</v>
          </cell>
          <cell r="K4429">
            <v>-6.0789999999999997E-2</v>
          </cell>
          <cell r="L4429">
            <v>-7.62E-3</v>
          </cell>
          <cell r="M4429">
            <v>-1.0800000000000001E-2</v>
          </cell>
          <cell r="N4429">
            <v>2.2899999999999999E-3</v>
          </cell>
          <cell r="O4429">
            <v>-1.473E-2</v>
          </cell>
          <cell r="P4429">
            <v>4.8900000000000002E-3</v>
          </cell>
          <cell r="Q4429">
            <v>6.9499999999999996E-3</v>
          </cell>
          <cell r="R4429">
            <v>2.9299999999999999E-3</v>
          </cell>
          <cell r="S4429">
            <v>1.1950000000000001E-2</v>
          </cell>
          <cell r="T4429">
            <v>1.4999999999999999E-4</v>
          </cell>
          <cell r="U4429">
            <v>-3.2870000000000003E-2</v>
          </cell>
          <cell r="V4429">
            <v>-4.2430000000000002E-2</v>
          </cell>
          <cell r="W4429">
            <v>1.315E-2</v>
          </cell>
          <cell r="Y4429">
            <v>3.882E-2</v>
          </cell>
          <cell r="Z4429">
            <v>1.8919999999999999E-2</v>
          </cell>
          <cell r="AA4429">
            <v>-8.6690000000000003E-2</v>
          </cell>
          <cell r="AB4429">
            <v>-0.26246999999999998</v>
          </cell>
          <cell r="AC4429">
            <v>-6.1170000000000002E-2</v>
          </cell>
          <cell r="AD4429">
            <v>-3.4700000000000002E-2</v>
          </cell>
          <cell r="AE4429">
            <v>-6.1799999999999997E-3</v>
          </cell>
          <cell r="AF4429">
            <v>-1.257E-2</v>
          </cell>
          <cell r="AG4429">
            <v>-2.4499999999999999E-3</v>
          </cell>
          <cell r="AH4429">
            <v>-2.47E-3</v>
          </cell>
          <cell r="AI4429">
            <v>2.9199999999999999E-3</v>
          </cell>
          <cell r="AJ4429">
            <v>1.6299999999999999E-3</v>
          </cell>
          <cell r="AK4429">
            <v>-5.5900000000000004E-3</v>
          </cell>
          <cell r="AL4429">
            <v>-1.366E-2</v>
          </cell>
          <cell r="AM4429">
            <v>-9.7099999999999999E-3</v>
          </cell>
          <cell r="AN4429">
            <v>-4.7499999999999999E-3</v>
          </cell>
          <cell r="AO4429">
            <v>-3.8600000000000002E-2</v>
          </cell>
          <cell r="AP4429">
            <v>1.3939999999999999E-2</v>
          </cell>
        </row>
        <row r="4430">
          <cell r="D4430" t="str">
            <v>五泉市</v>
          </cell>
          <cell r="E4430" t="str">
            <v>2030→2035</v>
          </cell>
          <cell r="F4430">
            <v>3.007E-2</v>
          </cell>
          <cell r="G4430">
            <v>6.9699999999999996E-3</v>
          </cell>
          <cell r="H4430">
            <v>-8.4720000000000004E-2</v>
          </cell>
          <cell r="I4430">
            <v>-0.28803000000000001</v>
          </cell>
          <cell r="J4430">
            <v>8.5500000000000003E-3</v>
          </cell>
          <cell r="K4430">
            <v>-6.3420000000000004E-2</v>
          </cell>
          <cell r="L4430">
            <v>-1.013E-2</v>
          </cell>
          <cell r="M4430">
            <v>-1.0919999999999999E-2</v>
          </cell>
          <cell r="N4430">
            <v>2.6800000000000001E-3</v>
          </cell>
          <cell r="O4430">
            <v>-1.477E-2</v>
          </cell>
          <cell r="P4430">
            <v>6.13E-3</v>
          </cell>
          <cell r="Q4430">
            <v>6.8399999999999997E-3</v>
          </cell>
          <cell r="R4430">
            <v>3.1800000000000001E-3</v>
          </cell>
          <cell r="S4430">
            <v>1.255E-2</v>
          </cell>
          <cell r="T4430">
            <v>1.57E-3</v>
          </cell>
          <cell r="U4430">
            <v>-3.7960000000000001E-2</v>
          </cell>
          <cell r="V4430">
            <v>-3.6339999999999997E-2</v>
          </cell>
          <cell r="W4430">
            <v>9.5899999999999996E-3</v>
          </cell>
          <cell r="Y4430">
            <v>3.9039999999999998E-2</v>
          </cell>
          <cell r="Z4430">
            <v>1.9290000000000002E-2</v>
          </cell>
          <cell r="AA4430">
            <v>-8.6760000000000004E-2</v>
          </cell>
          <cell r="AB4430">
            <v>-0.26269999999999999</v>
          </cell>
          <cell r="AC4430">
            <v>-6.1060000000000003E-2</v>
          </cell>
          <cell r="AD4430">
            <v>-3.7909999999999999E-2</v>
          </cell>
          <cell r="AE4430">
            <v>-8.9899999999999997E-3</v>
          </cell>
          <cell r="AF4430">
            <v>-1.2670000000000001E-2</v>
          </cell>
          <cell r="AG4430">
            <v>-2.0899999999999998E-3</v>
          </cell>
          <cell r="AH4430">
            <v>-2.4499999999999999E-3</v>
          </cell>
          <cell r="AI4430">
            <v>3.4499999999999999E-3</v>
          </cell>
          <cell r="AJ4430">
            <v>1.82E-3</v>
          </cell>
          <cell r="AK4430">
            <v>-5.64E-3</v>
          </cell>
          <cell r="AL4430">
            <v>-1.353E-2</v>
          </cell>
          <cell r="AM4430">
            <v>-9.5099999999999994E-3</v>
          </cell>
          <cell r="AN4430">
            <v>-7.11E-3</v>
          </cell>
          <cell r="AO4430">
            <v>-3.2329999999999998E-2</v>
          </cell>
          <cell r="AP4430">
            <v>1.0580000000000001E-2</v>
          </cell>
        </row>
        <row r="4431">
          <cell r="D4431" t="str">
            <v>五泉市</v>
          </cell>
          <cell r="E4431" t="str">
            <v>2035→2040</v>
          </cell>
          <cell r="F4431">
            <v>3.0120000000000001E-2</v>
          </cell>
          <cell r="G4431">
            <v>6.9300000000000004E-3</v>
          </cell>
          <cell r="H4431">
            <v>-8.4739999999999996E-2</v>
          </cell>
          <cell r="I4431">
            <v>-0.28803000000000001</v>
          </cell>
          <cell r="J4431">
            <v>9.7400000000000004E-3</v>
          </cell>
          <cell r="K4431">
            <v>-6.3909999999999995E-2</v>
          </cell>
          <cell r="L4431">
            <v>-1.2959999999999999E-2</v>
          </cell>
          <cell r="M4431">
            <v>-1.259E-2</v>
          </cell>
          <cell r="N4431">
            <v>2.49E-3</v>
          </cell>
          <cell r="O4431">
            <v>-1.456E-2</v>
          </cell>
          <cell r="P4431">
            <v>6.0800000000000003E-3</v>
          </cell>
          <cell r="Q4431">
            <v>7.8200000000000006E-3</v>
          </cell>
          <cell r="R4431">
            <v>2.7299999999999998E-3</v>
          </cell>
          <cell r="S4431">
            <v>1.244E-2</v>
          </cell>
          <cell r="T4431">
            <v>1.17E-3</v>
          </cell>
          <cell r="U4431">
            <v>-3.6479999999999999E-2</v>
          </cell>
          <cell r="V4431">
            <v>-4.342E-2</v>
          </cell>
          <cell r="W4431">
            <v>1.976E-2</v>
          </cell>
          <cell r="Y4431">
            <v>3.9050000000000001E-2</v>
          </cell>
          <cell r="Z4431">
            <v>1.9199999999999998E-2</v>
          </cell>
          <cell r="AA4431">
            <v>-8.6870000000000003E-2</v>
          </cell>
          <cell r="AB4431">
            <v>-0.26294000000000001</v>
          </cell>
          <cell r="AC4431">
            <v>-6.1010000000000002E-2</v>
          </cell>
          <cell r="AD4431">
            <v>-3.814E-2</v>
          </cell>
          <cell r="AE4431">
            <v>-1.1220000000000001E-2</v>
          </cell>
          <cell r="AF4431">
            <v>-1.404E-2</v>
          </cell>
          <cell r="AG4431">
            <v>-2.2499999999999998E-3</v>
          </cell>
          <cell r="AH4431">
            <v>-2.1700000000000001E-3</v>
          </cell>
          <cell r="AI4431">
            <v>3.46E-3</v>
          </cell>
          <cell r="AJ4431">
            <v>2.2899999999999999E-3</v>
          </cell>
          <cell r="AK4431">
            <v>-5.7099999999999998E-3</v>
          </cell>
          <cell r="AL4431">
            <v>-1.3650000000000001E-2</v>
          </cell>
          <cell r="AM4431">
            <v>-9.6600000000000002E-3</v>
          </cell>
          <cell r="AN4431">
            <v>-6.6600000000000001E-3</v>
          </cell>
          <cell r="AO4431">
            <v>-3.6330000000000001E-2</v>
          </cell>
          <cell r="AP4431">
            <v>2.1319999999999999E-2</v>
          </cell>
        </row>
        <row r="4432">
          <cell r="D4432" t="str">
            <v>五泉市</v>
          </cell>
          <cell r="E4432" t="str">
            <v>2040→2045</v>
          </cell>
          <cell r="F4432">
            <v>2.9850000000000002E-2</v>
          </cell>
          <cell r="G4432">
            <v>6.8300000000000001E-3</v>
          </cell>
          <cell r="H4432">
            <v>-8.48E-2</v>
          </cell>
          <cell r="I4432">
            <v>-0.28803000000000001</v>
          </cell>
          <cell r="J4432">
            <v>1.001E-2</v>
          </cell>
          <cell r="K4432">
            <v>-6.343E-2</v>
          </cell>
          <cell r="L4432">
            <v>-1.35E-2</v>
          </cell>
          <cell r="M4432">
            <v>-1.4319999999999999E-2</v>
          </cell>
          <cell r="N4432">
            <v>9.5E-4</v>
          </cell>
          <cell r="O4432">
            <v>-1.4579999999999999E-2</v>
          </cell>
          <cell r="P4432">
            <v>6.3699999999999998E-3</v>
          </cell>
          <cell r="Q4432">
            <v>7.9000000000000008E-3</v>
          </cell>
          <cell r="R4432">
            <v>3.3999999999999998E-3</v>
          </cell>
          <cell r="S4432">
            <v>1.183E-2</v>
          </cell>
          <cell r="T4432">
            <v>1.32E-3</v>
          </cell>
          <cell r="U4432">
            <v>-3.5740000000000001E-2</v>
          </cell>
          <cell r="V4432">
            <v>-4.1090000000000002E-2</v>
          </cell>
          <cell r="W4432">
            <v>-4.2999999999999999E-4</v>
          </cell>
          <cell r="Y4432">
            <v>3.8690000000000002E-2</v>
          </cell>
          <cell r="Z4432">
            <v>1.9029999999999998E-2</v>
          </cell>
          <cell r="AA4432">
            <v>-8.7139999999999995E-2</v>
          </cell>
          <cell r="AB4432">
            <v>-0.26332</v>
          </cell>
          <cell r="AC4432">
            <v>-6.1039999999999997E-2</v>
          </cell>
          <cell r="AD4432">
            <v>-3.7670000000000002E-2</v>
          </cell>
          <cell r="AE4432">
            <v>-1.1379999999999999E-2</v>
          </cell>
          <cell r="AF4432">
            <v>-1.507E-2</v>
          </cell>
          <cell r="AG4432">
            <v>-3.1900000000000001E-3</v>
          </cell>
          <cell r="AH4432">
            <v>-2.14E-3</v>
          </cell>
          <cell r="AI4432">
            <v>3.7399999999999998E-3</v>
          </cell>
          <cell r="AJ4432">
            <v>2.3500000000000001E-3</v>
          </cell>
          <cell r="AK4432">
            <v>-5.4900000000000001E-3</v>
          </cell>
          <cell r="AL4432">
            <v>-1.3849999999999999E-2</v>
          </cell>
          <cell r="AM4432">
            <v>-9.6799999999999994E-3</v>
          </cell>
          <cell r="AN4432">
            <v>-6.7000000000000002E-3</v>
          </cell>
          <cell r="AO4432">
            <v>-3.5529999999999999E-2</v>
          </cell>
          <cell r="AP4432">
            <v>1.0499999999999999E-3</v>
          </cell>
        </row>
        <row r="4433">
          <cell r="D4433" t="str">
            <v>上越市</v>
          </cell>
          <cell r="E4433" t="str">
            <v>2015→2020</v>
          </cell>
          <cell r="F4433">
            <v>7.4200000000000004E-3</v>
          </cell>
          <cell r="G4433">
            <v>6.79E-3</v>
          </cell>
          <cell r="H4433">
            <v>-0.11945</v>
          </cell>
          <cell r="I4433">
            <v>-0.15623999999999999</v>
          </cell>
          <cell r="J4433">
            <v>0.15779000000000001</v>
          </cell>
          <cell r="K4433">
            <v>1.6660000000000001E-2</v>
          </cell>
          <cell r="L4433">
            <v>-4.5300000000000002E-3</v>
          </cell>
          <cell r="M4433">
            <v>-6.6400000000000001E-3</v>
          </cell>
          <cell r="N4433">
            <v>-1.3469999999999999E-2</v>
          </cell>
          <cell r="O4433">
            <v>-3.0000000000000001E-3</v>
          </cell>
          <cell r="P4433">
            <v>2.5799999999999998E-3</v>
          </cell>
          <cell r="Q4433">
            <v>2.5100000000000001E-3</v>
          </cell>
          <cell r="R4433">
            <v>-9.7099999999999999E-3</v>
          </cell>
          <cell r="S4433">
            <v>-5.1000000000000004E-3</v>
          </cell>
          <cell r="T4433">
            <v>-3.3E-3</v>
          </cell>
          <cell r="U4433">
            <v>-4.1599999999999996E-3</v>
          </cell>
          <cell r="V4433">
            <v>-1.3220000000000001E-2</v>
          </cell>
          <cell r="W4433">
            <v>3.9359999999999999E-2</v>
          </cell>
          <cell r="Y4433">
            <v>9.1699999999999993E-3</v>
          </cell>
          <cell r="Z4433">
            <v>-4.2399999999999998E-3</v>
          </cell>
          <cell r="AA4433">
            <v>-0.13578999999999999</v>
          </cell>
          <cell r="AB4433">
            <v>-0.19325000000000001</v>
          </cell>
          <cell r="AC4433">
            <v>6.472E-2</v>
          </cell>
          <cell r="AD4433">
            <v>1.866E-2</v>
          </cell>
          <cell r="AE4433">
            <v>1.022E-2</v>
          </cell>
          <cell r="AF4433">
            <v>-5.8399999999999997E-3</v>
          </cell>
          <cell r="AG4433">
            <v>-3.6800000000000001E-3</v>
          </cell>
          <cell r="AH4433">
            <v>1.2099999999999999E-3</v>
          </cell>
          <cell r="AI4433">
            <v>4.6800000000000001E-3</v>
          </cell>
          <cell r="AJ4433">
            <v>1.99E-3</v>
          </cell>
          <cell r="AK4433">
            <v>-1.2999999999999999E-3</v>
          </cell>
          <cell r="AL4433">
            <v>-6.8500000000000002E-3</v>
          </cell>
          <cell r="AM4433">
            <v>-8.2400000000000008E-3</v>
          </cell>
          <cell r="AN4433">
            <v>-4.8500000000000001E-3</v>
          </cell>
          <cell r="AO4433">
            <v>6.4700000000000001E-3</v>
          </cell>
          <cell r="AP4433">
            <v>6.0859999999999997E-2</v>
          </cell>
        </row>
        <row r="4434">
          <cell r="D4434" t="str">
            <v>上越市</v>
          </cell>
          <cell r="E4434" t="str">
            <v>2020→2025</v>
          </cell>
          <cell r="F4434">
            <v>9.11E-3</v>
          </cell>
          <cell r="G4434">
            <v>8.09E-3</v>
          </cell>
          <cell r="H4434">
            <v>-0.11995</v>
          </cell>
          <cell r="I4434">
            <v>-0.15901999999999999</v>
          </cell>
          <cell r="J4434">
            <v>0.1575</v>
          </cell>
          <cell r="K4434">
            <v>1.9429999999999999E-2</v>
          </cell>
          <cell r="L4434">
            <v>-2.2000000000000001E-3</v>
          </cell>
          <cell r="M4434">
            <v>-3.3500000000000001E-3</v>
          </cell>
          <cell r="N4434">
            <v>-9.3699999999999999E-3</v>
          </cell>
          <cell r="O4434">
            <v>-2.6099999999999999E-3</v>
          </cell>
          <cell r="P4434">
            <v>3.2299999999999998E-3</v>
          </cell>
          <cell r="Q4434">
            <v>3.32E-3</v>
          </cell>
          <cell r="R4434">
            <v>-9.1800000000000007E-3</v>
          </cell>
          <cell r="S4434">
            <v>-6.7400000000000003E-3</v>
          </cell>
          <cell r="T4434">
            <v>-6.8000000000000005E-4</v>
          </cell>
          <cell r="U4434">
            <v>-5.94E-3</v>
          </cell>
          <cell r="V4434">
            <v>-1.524E-2</v>
          </cell>
          <cell r="W4434">
            <v>3.2149999999999998E-2</v>
          </cell>
          <cell r="Y4434">
            <v>1.098E-2</v>
          </cell>
          <cell r="Z4434">
            <v>-3.13E-3</v>
          </cell>
          <cell r="AA4434">
            <v>-0.13616</v>
          </cell>
          <cell r="AB4434">
            <v>-0.19486999999999999</v>
          </cell>
          <cell r="AC4434">
            <v>6.2789999999999999E-2</v>
          </cell>
          <cell r="AD4434">
            <v>2.1499999999999998E-2</v>
          </cell>
          <cell r="AE4434">
            <v>1.3220000000000001E-2</v>
          </cell>
          <cell r="AF4434">
            <v>-2.5200000000000001E-3</v>
          </cell>
          <cell r="AG4434">
            <v>-2.1199999999999999E-3</v>
          </cell>
          <cell r="AH4434">
            <v>1.4599999999999999E-3</v>
          </cell>
          <cell r="AI4434">
            <v>4.9800000000000001E-3</v>
          </cell>
          <cell r="AJ4434">
            <v>2.4399999999999999E-3</v>
          </cell>
          <cell r="AK4434">
            <v>-6.7000000000000002E-4</v>
          </cell>
          <cell r="AL4434">
            <v>-7.6699999999999997E-3</v>
          </cell>
          <cell r="AM4434">
            <v>-6.8399999999999997E-3</v>
          </cell>
          <cell r="AN4434">
            <v>-5.5999999999999999E-3</v>
          </cell>
          <cell r="AO4434">
            <v>5.1700000000000001E-3</v>
          </cell>
          <cell r="AP4434">
            <v>5.348E-2</v>
          </cell>
        </row>
        <row r="4435">
          <cell r="D4435" t="str">
            <v>上越市</v>
          </cell>
          <cell r="E4435" t="str">
            <v>2025→2030</v>
          </cell>
          <cell r="F4435">
            <v>1.057E-2</v>
          </cell>
          <cell r="G4435">
            <v>8.5800000000000008E-3</v>
          </cell>
          <cell r="H4435">
            <v>-0.11996</v>
          </cell>
          <cell r="I4435">
            <v>-0.16120999999999999</v>
          </cell>
          <cell r="J4435">
            <v>0.15445999999999999</v>
          </cell>
          <cell r="K4435">
            <v>1.7569999999999999E-2</v>
          </cell>
          <cell r="L4435">
            <v>-1.5399999999999999E-3</v>
          </cell>
          <cell r="M4435">
            <v>-2.15E-3</v>
          </cell>
          <cell r="N4435">
            <v>-9.11E-3</v>
          </cell>
          <cell r="O4435">
            <v>-2.0000000000000001E-4</v>
          </cell>
          <cell r="P4435">
            <v>3.0100000000000001E-3</v>
          </cell>
          <cell r="Q4435">
            <v>3.9500000000000004E-3</v>
          </cell>
          <cell r="R4435">
            <v>-8.9300000000000004E-3</v>
          </cell>
          <cell r="S4435">
            <v>-6.2100000000000002E-3</v>
          </cell>
          <cell r="T4435">
            <v>-3.5200000000000001E-3</v>
          </cell>
          <cell r="U4435">
            <v>-1.24E-3</v>
          </cell>
          <cell r="V4435">
            <v>-1.7829999999999999E-2</v>
          </cell>
          <cell r="W4435">
            <v>2.3980000000000001E-2</v>
          </cell>
          <cell r="Y4435">
            <v>1.2449999999999999E-2</v>
          </cell>
          <cell r="Z4435">
            <v>-2.7200000000000002E-3</v>
          </cell>
          <cell r="AA4435">
            <v>-0.13628999999999999</v>
          </cell>
          <cell r="AB4435">
            <v>-0.19677</v>
          </cell>
          <cell r="AC4435">
            <v>6.148E-2</v>
          </cell>
          <cell r="AD4435">
            <v>1.951E-2</v>
          </cell>
          <cell r="AE4435">
            <v>1.417E-2</v>
          </cell>
          <cell r="AF4435">
            <v>-1.34E-3</v>
          </cell>
          <cell r="AG4435">
            <v>-1.24E-3</v>
          </cell>
          <cell r="AH4435">
            <v>2.2799999999999999E-3</v>
          </cell>
          <cell r="AI4435">
            <v>5.2300000000000003E-3</v>
          </cell>
          <cell r="AJ4435">
            <v>2.7799999999999999E-3</v>
          </cell>
          <cell r="AK4435">
            <v>-1.4999999999999999E-4</v>
          </cell>
          <cell r="AL4435">
            <v>-7.45E-3</v>
          </cell>
          <cell r="AM4435">
            <v>-8.4100000000000008E-3</v>
          </cell>
          <cell r="AN4435">
            <v>-2.7100000000000002E-3</v>
          </cell>
          <cell r="AO4435">
            <v>3.14E-3</v>
          </cell>
          <cell r="AP4435">
            <v>4.3020000000000003E-2</v>
          </cell>
        </row>
        <row r="4436">
          <cell r="D4436" t="str">
            <v>上越市</v>
          </cell>
          <cell r="E4436" t="str">
            <v>2030→2035</v>
          </cell>
          <cell r="F4436">
            <v>1.1390000000000001E-2</v>
          </cell>
          <cell r="G4436">
            <v>9.1299999999999992E-3</v>
          </cell>
          <cell r="H4436">
            <v>-0.12005</v>
          </cell>
          <cell r="I4436">
            <v>-0.16170000000000001</v>
          </cell>
          <cell r="J4436">
            <v>0.15581</v>
          </cell>
          <cell r="K4436">
            <v>1.5310000000000001E-2</v>
          </cell>
          <cell r="L4436">
            <v>-3.1900000000000001E-3</v>
          </cell>
          <cell r="M4436">
            <v>-2.31E-3</v>
          </cell>
          <cell r="N4436">
            <v>-8.4399999999999996E-3</v>
          </cell>
          <cell r="O4436">
            <v>1.0000000000000001E-5</v>
          </cell>
          <cell r="P4436">
            <v>4.3400000000000001E-3</v>
          </cell>
          <cell r="Q4436">
            <v>3.6099999999999999E-3</v>
          </cell>
          <cell r="R4436">
            <v>-8.6599999999999993E-3</v>
          </cell>
          <cell r="S4436">
            <v>-5.7999999999999996E-3</v>
          </cell>
          <cell r="T4436">
            <v>-2.6099999999999999E-3</v>
          </cell>
          <cell r="U4436">
            <v>-6.2399999999999999E-3</v>
          </cell>
          <cell r="V4436">
            <v>-1.128E-2</v>
          </cell>
          <cell r="W4436">
            <v>2.0549999999999999E-2</v>
          </cell>
          <cell r="Y4436">
            <v>1.3259999999999999E-2</v>
          </cell>
          <cell r="Z4436">
            <v>-2.2399999999999998E-3</v>
          </cell>
          <cell r="AA4436">
            <v>-0.13639000000000001</v>
          </cell>
          <cell r="AB4436">
            <v>-0.19769999999999999</v>
          </cell>
          <cell r="AC4436">
            <v>6.1969999999999997E-2</v>
          </cell>
          <cell r="AD4436">
            <v>1.8339999999999999E-2</v>
          </cell>
          <cell r="AE4436">
            <v>1.2630000000000001E-2</v>
          </cell>
          <cell r="AF4436">
            <v>-1.15E-3</v>
          </cell>
          <cell r="AG4436">
            <v>-6.9999999999999999E-4</v>
          </cell>
          <cell r="AH4436">
            <v>2.4299999999999999E-3</v>
          </cell>
          <cell r="AI4436">
            <v>5.7400000000000003E-3</v>
          </cell>
          <cell r="AJ4436">
            <v>2.9499999999999999E-3</v>
          </cell>
          <cell r="AK4436">
            <v>-6.0000000000000002E-5</v>
          </cell>
          <cell r="AL4436">
            <v>-7.3000000000000001E-3</v>
          </cell>
          <cell r="AM4436">
            <v>-7.9600000000000001E-3</v>
          </cell>
          <cell r="AN4436">
            <v>-5.6100000000000004E-3</v>
          </cell>
          <cell r="AO4436">
            <v>8.8299999999999993E-3</v>
          </cell>
          <cell r="AP4436">
            <v>4.0239999999999998E-2</v>
          </cell>
        </row>
        <row r="4437">
          <cell r="D4437" t="str">
            <v>上越市</v>
          </cell>
          <cell r="E4437" t="str">
            <v>2035→2040</v>
          </cell>
          <cell r="F4437">
            <v>1.205E-2</v>
          </cell>
          <cell r="G4437">
            <v>9.3299999999999998E-3</v>
          </cell>
          <cell r="H4437">
            <v>-0.12019000000000001</v>
          </cell>
          <cell r="I4437">
            <v>-0.16242999999999999</v>
          </cell>
          <cell r="J4437">
            <v>0.15819</v>
          </cell>
          <cell r="K4437">
            <v>1.524E-2</v>
          </cell>
          <cell r="L4437">
            <v>-4.96E-3</v>
          </cell>
          <cell r="M4437">
            <v>-2.98E-3</v>
          </cell>
          <cell r="N4437">
            <v>-8.3899999999999999E-3</v>
          </cell>
          <cell r="O4437">
            <v>6.8999999999999997E-4</v>
          </cell>
          <cell r="P4437">
            <v>4.4600000000000004E-3</v>
          </cell>
          <cell r="Q4437">
            <v>4.3600000000000002E-3</v>
          </cell>
          <cell r="R4437">
            <v>-9.1599999999999997E-3</v>
          </cell>
          <cell r="S4437">
            <v>-5.5799999999999999E-3</v>
          </cell>
          <cell r="T4437">
            <v>-2.2499999999999998E-3</v>
          </cell>
          <cell r="U4437">
            <v>-4.7699999999999999E-3</v>
          </cell>
          <cell r="V4437">
            <v>-1.8429999999999998E-2</v>
          </cell>
          <cell r="W4437">
            <v>3.0810000000000001E-2</v>
          </cell>
          <cell r="Y4437">
            <v>1.388E-2</v>
          </cell>
          <cell r="Z4437">
            <v>-2.0899999999999998E-3</v>
          </cell>
          <cell r="AA4437">
            <v>-0.13658000000000001</v>
          </cell>
          <cell r="AB4437">
            <v>-0.19836999999999999</v>
          </cell>
          <cell r="AC4437">
            <v>6.2850000000000003E-2</v>
          </cell>
          <cell r="AD4437">
            <v>1.8429999999999998E-2</v>
          </cell>
          <cell r="AE4437">
            <v>1.1639999999999999E-2</v>
          </cell>
          <cell r="AF4437">
            <v>-2.32E-3</v>
          </cell>
          <cell r="AG4437">
            <v>-7.1000000000000002E-4</v>
          </cell>
          <cell r="AH4437">
            <v>2.8400000000000001E-3</v>
          </cell>
          <cell r="AI4437">
            <v>5.8500000000000002E-3</v>
          </cell>
          <cell r="AJ4437">
            <v>3.3899999999999998E-3</v>
          </cell>
          <cell r="AK4437">
            <v>-1.2E-4</v>
          </cell>
          <cell r="AL4437">
            <v>-7.1900000000000002E-3</v>
          </cell>
          <cell r="AM4437">
            <v>-7.7200000000000003E-3</v>
          </cell>
          <cell r="AN4437">
            <v>-4.8300000000000001E-3</v>
          </cell>
          <cell r="AO4437">
            <v>3.9199999999999999E-3</v>
          </cell>
          <cell r="AP4437">
            <v>5.1229999999999998E-2</v>
          </cell>
        </row>
        <row r="4438">
          <cell r="D4438" t="str">
            <v>上越市</v>
          </cell>
          <cell r="E4438" t="str">
            <v>2040→2045</v>
          </cell>
          <cell r="F4438">
            <v>1.238E-2</v>
          </cell>
          <cell r="G4438">
            <v>9.4500000000000001E-3</v>
          </cell>
          <cell r="H4438">
            <v>-0.12066</v>
          </cell>
          <cell r="I4438">
            <v>-0.16370000000000001</v>
          </cell>
          <cell r="J4438">
            <v>0.15948999999999999</v>
          </cell>
          <cell r="K4438">
            <v>1.6310000000000002E-2</v>
          </cell>
          <cell r="L4438">
            <v>-5.0299999999999997E-3</v>
          </cell>
          <cell r="M4438">
            <v>-4.2300000000000003E-3</v>
          </cell>
          <cell r="N4438">
            <v>-9.8799999999999999E-3</v>
          </cell>
          <cell r="O4438">
            <v>9.6000000000000002E-4</v>
          </cell>
          <cell r="P4438">
            <v>4.9500000000000004E-3</v>
          </cell>
          <cell r="Q4438">
            <v>4.5599999999999998E-3</v>
          </cell>
          <cell r="R4438">
            <v>-9.1500000000000001E-3</v>
          </cell>
          <cell r="S4438">
            <v>-6.2599999999999999E-3</v>
          </cell>
          <cell r="T4438">
            <v>-1.9E-3</v>
          </cell>
          <cell r="U4438">
            <v>-4.15E-3</v>
          </cell>
          <cell r="V4438">
            <v>-1.6070000000000001E-2</v>
          </cell>
          <cell r="W4438">
            <v>8.1600000000000006E-3</v>
          </cell>
          <cell r="Y4438">
            <v>1.417E-2</v>
          </cell>
          <cell r="Z4438">
            <v>-2.0100000000000001E-3</v>
          </cell>
          <cell r="AA4438">
            <v>-0.13705999999999999</v>
          </cell>
          <cell r="AB4438">
            <v>-0.19971</v>
          </cell>
          <cell r="AC4438">
            <v>6.3670000000000004E-2</v>
          </cell>
          <cell r="AD4438">
            <v>1.951E-2</v>
          </cell>
          <cell r="AE4438">
            <v>1.1730000000000001E-2</v>
          </cell>
          <cell r="AF4438">
            <v>-3.0200000000000001E-3</v>
          </cell>
          <cell r="AG4438">
            <v>-1.4499999999999999E-3</v>
          </cell>
          <cell r="AH4438">
            <v>3.0200000000000001E-3</v>
          </cell>
          <cell r="AI4438">
            <v>6.2700000000000004E-3</v>
          </cell>
          <cell r="AJ4438">
            <v>3.5500000000000002E-3</v>
          </cell>
          <cell r="AK4438">
            <v>1.9000000000000001E-4</v>
          </cell>
          <cell r="AL4438">
            <v>-7.4799999999999997E-3</v>
          </cell>
          <cell r="AM4438">
            <v>-7.5100000000000002E-3</v>
          </cell>
          <cell r="AN4438">
            <v>-4.4099999999999999E-3</v>
          </cell>
          <cell r="AO4438">
            <v>5.2700000000000004E-3</v>
          </cell>
          <cell r="AP4438">
            <v>2.793E-2</v>
          </cell>
        </row>
        <row r="4439">
          <cell r="D4439" t="str">
            <v>阿賀野市</v>
          </cell>
          <cell r="E4439" t="str">
            <v>2015→2020</v>
          </cell>
          <cell r="F4439">
            <v>3.3279999999999997E-2</v>
          </cell>
          <cell r="G4439">
            <v>1.5339999999999999E-2</v>
          </cell>
          <cell r="H4439">
            <v>-9.9739999999999995E-2</v>
          </cell>
          <cell r="I4439">
            <v>-0.23039999999999999</v>
          </cell>
          <cell r="J4439">
            <v>-1.353E-2</v>
          </cell>
          <cell r="K4439">
            <v>-2.9479999999999999E-2</v>
          </cell>
          <cell r="L4439">
            <v>-1.218E-2</v>
          </cell>
          <cell r="M4439">
            <v>-6.3899999999999998E-3</v>
          </cell>
          <cell r="N4439">
            <v>-2.0600000000000002E-3</v>
          </cell>
          <cell r="O4439">
            <v>-1.32E-3</v>
          </cell>
          <cell r="P4439">
            <v>1.09E-2</v>
          </cell>
          <cell r="Q4439">
            <v>1.167E-2</v>
          </cell>
          <cell r="R4439">
            <v>-4.1000000000000003E-3</v>
          </cell>
          <cell r="S4439">
            <v>-6.79E-3</v>
          </cell>
          <cell r="T4439">
            <v>2.8600000000000001E-3</v>
          </cell>
          <cell r="U4439">
            <v>7.28E-3</v>
          </cell>
          <cell r="V4439">
            <v>2.392E-2</v>
          </cell>
          <cell r="W4439">
            <v>4.8900000000000002E-3</v>
          </cell>
          <cell r="Y4439">
            <v>1.108E-2</v>
          </cell>
          <cell r="Z4439">
            <v>-5.1399999999999996E-3</v>
          </cell>
          <cell r="AA4439">
            <v>-8.7080000000000005E-2</v>
          </cell>
          <cell r="AB4439">
            <v>-0.21897</v>
          </cell>
          <cell r="AC4439">
            <v>-7.6569999999999999E-2</v>
          </cell>
          <cell r="AD4439">
            <v>-3.9649999999999998E-2</v>
          </cell>
          <cell r="AE4439">
            <v>-2.256E-2</v>
          </cell>
          <cell r="AF4439">
            <v>-2.1649999999999999E-2</v>
          </cell>
          <cell r="AG4439">
            <v>9.1E-4</v>
          </cell>
          <cell r="AH4439">
            <v>-2.0400000000000001E-3</v>
          </cell>
          <cell r="AI4439">
            <v>2.2799999999999999E-3</v>
          </cell>
          <cell r="AJ4439">
            <v>1.214E-2</v>
          </cell>
          <cell r="AK4439">
            <v>1.1E-4</v>
          </cell>
          <cell r="AL4439">
            <v>2.31E-3</v>
          </cell>
          <cell r="AM4439">
            <v>1.97E-3</v>
          </cell>
          <cell r="AN4439">
            <v>8.7200000000000003E-3</v>
          </cell>
          <cell r="AO4439">
            <v>-4.81E-3</v>
          </cell>
          <cell r="AP4439">
            <v>6.1600000000000002E-2</v>
          </cell>
        </row>
        <row r="4440">
          <cell r="D4440" t="str">
            <v>阿賀野市</v>
          </cell>
          <cell r="E4440" t="str">
            <v>2020→2025</v>
          </cell>
          <cell r="F4440">
            <v>3.4840000000000003E-2</v>
          </cell>
          <cell r="G4440">
            <v>1.695E-2</v>
          </cell>
          <cell r="H4440">
            <v>-9.9849999999999994E-2</v>
          </cell>
          <cell r="I4440">
            <v>-0.23111999999999999</v>
          </cell>
          <cell r="J4440">
            <v>-1.5890000000000001E-2</v>
          </cell>
          <cell r="K4440">
            <v>-2.7900000000000001E-2</v>
          </cell>
          <cell r="L4440">
            <v>-1.055E-2</v>
          </cell>
          <cell r="M4440">
            <v>-1.1999999999999999E-3</v>
          </cell>
          <cell r="N4440">
            <v>-4.9699999999999996E-3</v>
          </cell>
          <cell r="O4440">
            <v>-7.6999999999999996E-4</v>
          </cell>
          <cell r="P4440">
            <v>1.0999999999999999E-2</v>
          </cell>
          <cell r="Q4440">
            <v>1.1690000000000001E-2</v>
          </cell>
          <cell r="R4440">
            <v>-3.2599999999999999E-3</v>
          </cell>
          <cell r="S4440">
            <v>-9.5099999999999994E-3</v>
          </cell>
          <cell r="T4440">
            <v>5.77E-3</v>
          </cell>
          <cell r="U4440">
            <v>4.9399999999999999E-3</v>
          </cell>
          <cell r="V4440">
            <v>2.18E-2</v>
          </cell>
          <cell r="W4440">
            <v>-1.31E-3</v>
          </cell>
          <cell r="Y4440">
            <v>1.8329999999999999E-2</v>
          </cell>
          <cell r="Z4440">
            <v>-4.28E-3</v>
          </cell>
          <cell r="AA4440">
            <v>-8.7110000000000007E-2</v>
          </cell>
          <cell r="AB4440">
            <v>-0.21967999999999999</v>
          </cell>
          <cell r="AC4440">
            <v>-8.0890000000000004E-2</v>
          </cell>
          <cell r="AD4440">
            <v>-3.7159999999999999E-2</v>
          </cell>
          <cell r="AE4440">
            <v>-2.0029999999999999E-2</v>
          </cell>
          <cell r="AF4440">
            <v>-2.0459999999999999E-2</v>
          </cell>
          <cell r="AG4440">
            <v>2.14E-3</v>
          </cell>
          <cell r="AH4440">
            <v>-1.7099999999999999E-3</v>
          </cell>
          <cell r="AI4440">
            <v>2.16E-3</v>
          </cell>
          <cell r="AJ4440">
            <v>1.2239999999999999E-2</v>
          </cell>
          <cell r="AK4440">
            <v>1.8000000000000001E-4</v>
          </cell>
          <cell r="AL4440">
            <v>4.8999999999999998E-4</v>
          </cell>
          <cell r="AM4440">
            <v>4.13E-3</v>
          </cell>
          <cell r="AN4440">
            <v>7.3800000000000003E-3</v>
          </cell>
          <cell r="AO4440">
            <v>-6.3E-3</v>
          </cell>
          <cell r="AP4440">
            <v>5.4969999999999998E-2</v>
          </cell>
        </row>
        <row r="4441">
          <cell r="D4441" t="str">
            <v>阿賀野市</v>
          </cell>
          <cell r="E4441" t="str">
            <v>2025→2030</v>
          </cell>
          <cell r="F4441">
            <v>3.6069999999999998E-2</v>
          </cell>
          <cell r="G4441">
            <v>1.7319999999999999E-2</v>
          </cell>
          <cell r="H4441">
            <v>-9.98E-2</v>
          </cell>
          <cell r="I4441">
            <v>-0.23139999999999999</v>
          </cell>
          <cell r="J4441">
            <v>-2.0650000000000002E-2</v>
          </cell>
          <cell r="K4441">
            <v>-3.0960000000000001E-2</v>
          </cell>
          <cell r="L4441">
            <v>-1.043E-2</v>
          </cell>
          <cell r="M4441">
            <v>4.6699999999999997E-3</v>
          </cell>
          <cell r="N4441">
            <v>-2.5000000000000001E-3</v>
          </cell>
          <cell r="O4441">
            <v>1.4599999999999999E-3</v>
          </cell>
          <cell r="P4441">
            <v>1.11E-2</v>
          </cell>
          <cell r="Q4441">
            <v>1.201E-2</v>
          </cell>
          <cell r="R4441">
            <v>-2.5600000000000002E-3</v>
          </cell>
          <cell r="S4441">
            <v>-8.4399999999999996E-3</v>
          </cell>
          <cell r="T4441">
            <v>8.8000000000000003E-4</v>
          </cell>
          <cell r="U4441">
            <v>1.072E-2</v>
          </cell>
          <cell r="V4441">
            <v>1.771E-2</v>
          </cell>
          <cell r="W4441">
            <v>-8.6800000000000002E-3</v>
          </cell>
          <cell r="Y4441">
            <v>1.949E-2</v>
          </cell>
          <cell r="Z4441">
            <v>-4.0400000000000002E-3</v>
          </cell>
          <cell r="AA4441">
            <v>-8.7120000000000003E-2</v>
          </cell>
          <cell r="AB4441">
            <v>-0.21995000000000001</v>
          </cell>
          <cell r="AC4441">
            <v>-8.4169999999999995E-2</v>
          </cell>
          <cell r="AD4441">
            <v>-4.2160000000000003E-2</v>
          </cell>
          <cell r="AE4441">
            <v>-1.9539999999999998E-2</v>
          </cell>
          <cell r="AF4441">
            <v>-1.9730000000000001E-2</v>
          </cell>
          <cell r="AG4441">
            <v>2.6800000000000001E-3</v>
          </cell>
          <cell r="AH4441">
            <v>-6.6E-4</v>
          </cell>
          <cell r="AI4441">
            <v>2.4399999999999999E-3</v>
          </cell>
          <cell r="AJ4441">
            <v>1.221E-2</v>
          </cell>
          <cell r="AK4441">
            <v>2.0899999999999998E-3</v>
          </cell>
          <cell r="AL4441">
            <v>5.5999999999999995E-4</v>
          </cell>
          <cell r="AM4441">
            <v>1.8E-3</v>
          </cell>
          <cell r="AN4441">
            <v>1.111E-2</v>
          </cell>
          <cell r="AO4441">
            <v>-8.8000000000000005E-3</v>
          </cell>
          <cell r="AP4441">
            <v>4.4679999999999997E-2</v>
          </cell>
        </row>
        <row r="4442">
          <cell r="D4442" t="str">
            <v>阿賀野市</v>
          </cell>
          <cell r="E4442" t="str">
            <v>2030→2035</v>
          </cell>
          <cell r="F4442">
            <v>3.637E-2</v>
          </cell>
          <cell r="G4442">
            <v>1.77E-2</v>
          </cell>
          <cell r="H4442">
            <v>-9.9830000000000002E-2</v>
          </cell>
          <cell r="I4442">
            <v>-0.23138</v>
          </cell>
          <cell r="J4442">
            <v>-2.052E-2</v>
          </cell>
          <cell r="K4442">
            <v>-3.4950000000000002E-2</v>
          </cell>
          <cell r="L4442">
            <v>-1.259E-2</v>
          </cell>
          <cell r="M4442">
            <v>5.6800000000000002E-3</v>
          </cell>
          <cell r="N4442">
            <v>4.6999999999999999E-4</v>
          </cell>
          <cell r="O4442">
            <v>1.4300000000000001E-3</v>
          </cell>
          <cell r="P4442">
            <v>1.2789999999999999E-2</v>
          </cell>
          <cell r="Q4442">
            <v>1.188E-2</v>
          </cell>
          <cell r="R4442">
            <v>-2.3500000000000001E-3</v>
          </cell>
          <cell r="S4442">
            <v>-7.0200000000000002E-3</v>
          </cell>
          <cell r="T4442">
            <v>2.7599999999999999E-3</v>
          </cell>
          <cell r="U4442">
            <v>4.7000000000000002E-3</v>
          </cell>
          <cell r="V4442">
            <v>2.7199999999999998E-2</v>
          </cell>
          <cell r="W4442">
            <v>-1.159E-2</v>
          </cell>
          <cell r="Y4442">
            <v>1.975E-2</v>
          </cell>
          <cell r="Z4442">
            <v>-3.7399999999999998E-3</v>
          </cell>
          <cell r="AA4442">
            <v>-8.7150000000000005E-2</v>
          </cell>
          <cell r="AB4442">
            <v>-0.22011</v>
          </cell>
          <cell r="AC4442">
            <v>-8.387E-2</v>
          </cell>
          <cell r="AD4442">
            <v>-4.5920000000000002E-2</v>
          </cell>
          <cell r="AE4442">
            <v>-2.232E-2</v>
          </cell>
          <cell r="AF4442">
            <v>-1.601E-2</v>
          </cell>
          <cell r="AG4442">
            <v>3.0300000000000001E-3</v>
          </cell>
          <cell r="AH4442">
            <v>-6.3000000000000003E-4</v>
          </cell>
          <cell r="AI4442">
            <v>3.0799999999999998E-3</v>
          </cell>
          <cell r="AJ4442">
            <v>1.257E-2</v>
          </cell>
          <cell r="AK4442">
            <v>1.9300000000000001E-3</v>
          </cell>
          <cell r="AL4442">
            <v>2.2300000000000002E-3</v>
          </cell>
          <cell r="AM4442">
            <v>2.0300000000000001E-3</v>
          </cell>
          <cell r="AN4442">
            <v>8.8900000000000003E-3</v>
          </cell>
          <cell r="AO4442">
            <v>-2.4599999999999999E-3</v>
          </cell>
          <cell r="AP4442">
            <v>4.1149999999999999E-2</v>
          </cell>
        </row>
        <row r="4443">
          <cell r="D4443" t="str">
            <v>阿賀野市</v>
          </cell>
          <cell r="E4443" t="str">
            <v>2035→2040</v>
          </cell>
          <cell r="F4443">
            <v>3.6490000000000002E-2</v>
          </cell>
          <cell r="G4443">
            <v>1.7670000000000002E-2</v>
          </cell>
          <cell r="H4443">
            <v>-9.9879999999999997E-2</v>
          </cell>
          <cell r="I4443">
            <v>-0.23150000000000001</v>
          </cell>
          <cell r="J4443">
            <v>-1.89E-2</v>
          </cell>
          <cell r="K4443">
            <v>-3.5630000000000002E-2</v>
          </cell>
          <cell r="L4443">
            <v>-1.52E-2</v>
          </cell>
          <cell r="M4443">
            <v>3.5799999999999998E-3</v>
          </cell>
          <cell r="N4443">
            <v>8.0999999999999996E-4</v>
          </cell>
          <cell r="O4443">
            <v>1.8500000000000001E-3</v>
          </cell>
          <cell r="P4443">
            <v>1.2749999999999999E-2</v>
          </cell>
          <cell r="Q4443">
            <v>1.3089999999999999E-2</v>
          </cell>
          <cell r="R4443">
            <v>-2.81E-3</v>
          </cell>
          <cell r="S4443">
            <v>-6.4799999999999996E-3</v>
          </cell>
          <cell r="T4443">
            <v>4.6299999999999996E-3</v>
          </cell>
          <cell r="U4443">
            <v>7.6899999999999998E-3</v>
          </cell>
          <cell r="V4443">
            <v>2.2499999999999999E-2</v>
          </cell>
          <cell r="W4443">
            <v>-2.6199999999999999E-3</v>
          </cell>
          <cell r="Y4443">
            <v>1.983E-2</v>
          </cell>
          <cell r="Z4443">
            <v>-3.7799999999999999E-3</v>
          </cell>
          <cell r="AA4443">
            <v>-8.72E-2</v>
          </cell>
          <cell r="AB4443">
            <v>-0.22031000000000001</v>
          </cell>
          <cell r="AC4443">
            <v>-8.3610000000000004E-2</v>
          </cell>
          <cell r="AD4443">
            <v>-4.5990000000000003E-2</v>
          </cell>
          <cell r="AE4443">
            <v>-2.4500000000000001E-2</v>
          </cell>
          <cell r="AF4443">
            <v>-1.755E-2</v>
          </cell>
          <cell r="AG4443">
            <v>3.2299999999999998E-3</v>
          </cell>
          <cell r="AH4443">
            <v>-2.5999999999999998E-4</v>
          </cell>
          <cell r="AI4443">
            <v>3.0799999999999998E-3</v>
          </cell>
          <cell r="AJ4443">
            <v>1.3509999999999999E-2</v>
          </cell>
          <cell r="AK4443">
            <v>1.9400000000000001E-3</v>
          </cell>
          <cell r="AL4443">
            <v>3.4299999999999999E-3</v>
          </cell>
          <cell r="AM4443">
            <v>3.0999999999999999E-3</v>
          </cell>
          <cell r="AN4443">
            <v>9.2300000000000004E-3</v>
          </cell>
          <cell r="AO4443">
            <v>-6.7400000000000003E-3</v>
          </cell>
          <cell r="AP4443">
            <v>5.2420000000000001E-2</v>
          </cell>
        </row>
        <row r="4444">
          <cell r="D4444" t="str">
            <v>阿賀野市</v>
          </cell>
          <cell r="E4444" t="str">
            <v>2040→2045</v>
          </cell>
          <cell r="F4444">
            <v>3.6229999999999998E-2</v>
          </cell>
          <cell r="G4444">
            <v>1.7559999999999999E-2</v>
          </cell>
          <cell r="H4444">
            <v>-0.10005</v>
          </cell>
          <cell r="I4444">
            <v>-0.23171</v>
          </cell>
          <cell r="J4444">
            <v>-1.856E-2</v>
          </cell>
          <cell r="K4444">
            <v>-3.4700000000000002E-2</v>
          </cell>
          <cell r="L4444">
            <v>-1.566E-2</v>
          </cell>
          <cell r="M4444">
            <v>1.2800000000000001E-3</v>
          </cell>
          <cell r="N4444">
            <v>-4.0999999999999999E-4</v>
          </cell>
          <cell r="O4444">
            <v>1.82E-3</v>
          </cell>
          <cell r="P4444">
            <v>1.3140000000000001E-2</v>
          </cell>
          <cell r="Q4444">
            <v>1.32E-2</v>
          </cell>
          <cell r="R4444">
            <v>-2.7000000000000001E-3</v>
          </cell>
          <cell r="S4444">
            <v>-7.1300000000000001E-3</v>
          </cell>
          <cell r="T4444">
            <v>4.79E-3</v>
          </cell>
          <cell r="U4444">
            <v>7.4200000000000004E-3</v>
          </cell>
          <cell r="V4444">
            <v>2.366E-2</v>
          </cell>
          <cell r="W4444">
            <v>-2.3269999999999999E-2</v>
          </cell>
          <cell r="Y4444">
            <v>1.9529999999999999E-2</v>
          </cell>
          <cell r="Z4444">
            <v>-3.8800000000000002E-3</v>
          </cell>
          <cell r="AA4444">
            <v>-8.7319999999999995E-2</v>
          </cell>
          <cell r="AB4444">
            <v>-0.22065000000000001</v>
          </cell>
          <cell r="AC4444">
            <v>-8.3549999999999999E-2</v>
          </cell>
          <cell r="AD4444">
            <v>-4.5260000000000002E-2</v>
          </cell>
          <cell r="AE4444">
            <v>-2.4559999999999998E-2</v>
          </cell>
          <cell r="AF4444">
            <v>-1.8689999999999998E-2</v>
          </cell>
          <cell r="AG4444">
            <v>2.2300000000000002E-3</v>
          </cell>
          <cell r="AH4444">
            <v>-1.9000000000000001E-4</v>
          </cell>
          <cell r="AI4444">
            <v>3.4199999999999999E-3</v>
          </cell>
          <cell r="AJ4444">
            <v>1.362E-2</v>
          </cell>
          <cell r="AK4444">
            <v>2.4599999999999999E-3</v>
          </cell>
          <cell r="AL4444">
            <v>3.31E-3</v>
          </cell>
          <cell r="AM4444">
            <v>2.96E-3</v>
          </cell>
          <cell r="AN4444">
            <v>9.0699999999999999E-3</v>
          </cell>
          <cell r="AO4444">
            <v>-5.8700000000000002E-3</v>
          </cell>
          <cell r="AP4444">
            <v>3.091E-2</v>
          </cell>
        </row>
        <row r="4445">
          <cell r="D4445" t="str">
            <v>佐渡市</v>
          </cell>
          <cell r="E4445" t="str">
            <v>2015→2020</v>
          </cell>
          <cell r="F4445">
            <v>-6.0729999999999999E-2</v>
          </cell>
          <cell r="G4445">
            <v>-4.3490000000000001E-2</v>
          </cell>
          <cell r="H4445">
            <v>-0.20397000000000001</v>
          </cell>
          <cell r="I4445">
            <v>-0.38900000000000001</v>
          </cell>
          <cell r="J4445">
            <v>0.26717999999999997</v>
          </cell>
          <cell r="K4445">
            <v>-9.9900000000000006E-3</v>
          </cell>
          <cell r="L4445">
            <v>-3.4259999999999999E-2</v>
          </cell>
          <cell r="M4445">
            <v>-1.401E-2</v>
          </cell>
          <cell r="N4445">
            <v>-1.289E-2</v>
          </cell>
          <cell r="O4445">
            <v>-1.086E-2</v>
          </cell>
          <cell r="P4445">
            <v>-1.286E-2</v>
          </cell>
          <cell r="Q4445">
            <v>-3.6700000000000001E-3</v>
          </cell>
          <cell r="R4445">
            <v>1.728E-2</v>
          </cell>
          <cell r="S4445">
            <v>-1.6729999999999998E-2</v>
          </cell>
          <cell r="T4445">
            <v>-2.0699999999999998E-3</v>
          </cell>
          <cell r="U4445">
            <v>-2.2839999999999999E-2</v>
          </cell>
          <cell r="V4445">
            <v>1.103E-2</v>
          </cell>
          <cell r="W4445">
            <v>3.9489999999999997E-2</v>
          </cell>
          <cell r="Y4445">
            <v>-3.637E-2</v>
          </cell>
          <cell r="Z4445">
            <v>-3.6240000000000001E-2</v>
          </cell>
          <cell r="AA4445">
            <v>-0.20587</v>
          </cell>
          <cell r="AB4445">
            <v>-0.43153999999999998</v>
          </cell>
          <cell r="AC4445">
            <v>0.16567000000000001</v>
          </cell>
          <cell r="AD4445">
            <v>1.7389999999999999E-2</v>
          </cell>
          <cell r="AE4445">
            <v>-3.3689999999999998E-2</v>
          </cell>
          <cell r="AF4445">
            <v>-3.4709999999999998E-2</v>
          </cell>
          <cell r="AG4445">
            <v>-2.2190000000000001E-2</v>
          </cell>
          <cell r="AH4445">
            <v>1.129E-2</v>
          </cell>
          <cell r="AI4445">
            <v>7.5799999999999999E-3</v>
          </cell>
          <cell r="AJ4445">
            <v>8.2900000000000005E-3</v>
          </cell>
          <cell r="AK4445">
            <v>1.2160000000000001E-2</v>
          </cell>
          <cell r="AL4445">
            <v>7.2700000000000004E-3</v>
          </cell>
          <cell r="AM4445">
            <v>-3.64E-3</v>
          </cell>
          <cell r="AN4445">
            <v>-9.7999999999999997E-3</v>
          </cell>
          <cell r="AO4445">
            <v>-4.7070000000000001E-2</v>
          </cell>
          <cell r="AP4445">
            <v>1.503E-2</v>
          </cell>
        </row>
        <row r="4446">
          <cell r="D4446" t="str">
            <v>佐渡市</v>
          </cell>
          <cell r="E4446" t="str">
            <v>2020→2025</v>
          </cell>
          <cell r="F4446">
            <v>-5.9880000000000003E-2</v>
          </cell>
          <cell r="G4446">
            <v>-4.2869999999999998E-2</v>
          </cell>
          <cell r="H4446">
            <v>-0.20397000000000001</v>
          </cell>
          <cell r="I4446">
            <v>-0.38971</v>
          </cell>
          <cell r="J4446">
            <v>0.26752999999999999</v>
          </cell>
          <cell r="K4446">
            <v>-7.2500000000000004E-3</v>
          </cell>
          <cell r="L4446">
            <v>-3.245E-2</v>
          </cell>
          <cell r="M4446">
            <v>-9.9600000000000001E-3</v>
          </cell>
          <cell r="N4446">
            <v>-9.3699999999999999E-3</v>
          </cell>
          <cell r="O4446">
            <v>-1.0580000000000001E-2</v>
          </cell>
          <cell r="P4446">
            <v>-1.24E-2</v>
          </cell>
          <cell r="Q4446">
            <v>-3.1900000000000001E-3</v>
          </cell>
          <cell r="R4446">
            <v>1.7729999999999999E-2</v>
          </cell>
          <cell r="S4446">
            <v>-1.8380000000000001E-2</v>
          </cell>
          <cell r="T4446">
            <v>5.6999999999999998E-4</v>
          </cell>
          <cell r="U4446">
            <v>-2.4479999999999998E-2</v>
          </cell>
          <cell r="V4446">
            <v>9.2999999999999992E-3</v>
          </cell>
          <cell r="W4446">
            <v>3.261E-2</v>
          </cell>
          <cell r="Y4446">
            <v>-3.4880000000000001E-2</v>
          </cell>
          <cell r="Z4446">
            <v>-3.5869999999999999E-2</v>
          </cell>
          <cell r="AA4446">
            <v>-0.20587</v>
          </cell>
          <cell r="AB4446">
            <v>-0.43190000000000001</v>
          </cell>
          <cell r="AC4446">
            <v>0.16267000000000001</v>
          </cell>
          <cell r="AD4446">
            <v>2.0760000000000001E-2</v>
          </cell>
          <cell r="AE4446">
            <v>-3.1280000000000002E-2</v>
          </cell>
          <cell r="AF4446">
            <v>-2.8119999999999999E-2</v>
          </cell>
          <cell r="AG4446">
            <v>-2.1590000000000002E-2</v>
          </cell>
          <cell r="AH4446">
            <v>1.171E-2</v>
          </cell>
          <cell r="AI4446">
            <v>7.9799999999999992E-3</v>
          </cell>
          <cell r="AJ4446">
            <v>9.1999999999999998E-3</v>
          </cell>
          <cell r="AK4446">
            <v>1.2070000000000001E-2</v>
          </cell>
          <cell r="AL4446">
            <v>7.6E-3</v>
          </cell>
          <cell r="AM4446">
            <v>-2.0600000000000002E-3</v>
          </cell>
          <cell r="AN4446">
            <v>-1.035E-2</v>
          </cell>
          <cell r="AO4446">
            <v>-4.802E-2</v>
          </cell>
          <cell r="AP4446">
            <v>8.7399999999999995E-3</v>
          </cell>
        </row>
        <row r="4447">
          <cell r="D4447" t="str">
            <v>佐渡市</v>
          </cell>
          <cell r="E4447" t="str">
            <v>2025→2030</v>
          </cell>
          <cell r="F4447">
            <v>-5.9089999999999997E-2</v>
          </cell>
          <cell r="G4447">
            <v>-4.2720000000000001E-2</v>
          </cell>
          <cell r="H4447">
            <v>-0.20397000000000001</v>
          </cell>
          <cell r="I4447">
            <v>-0.38989000000000001</v>
          </cell>
          <cell r="J4447">
            <v>0.26277</v>
          </cell>
          <cell r="K4447">
            <v>-8.4200000000000004E-3</v>
          </cell>
          <cell r="L4447">
            <v>-3.175E-2</v>
          </cell>
          <cell r="M4447">
            <v>-7.28E-3</v>
          </cell>
          <cell r="N4447">
            <v>-9.0600000000000003E-3</v>
          </cell>
          <cell r="O4447">
            <v>-8.7799999999999996E-3</v>
          </cell>
          <cell r="P4447">
            <v>-1.248E-2</v>
          </cell>
          <cell r="Q4447">
            <v>-2.7399999999999998E-3</v>
          </cell>
          <cell r="R4447">
            <v>1.8169999999999999E-2</v>
          </cell>
          <cell r="S4447">
            <v>-1.7919999999999998E-2</v>
          </cell>
          <cell r="T4447">
            <v>-2.2399999999999998E-3</v>
          </cell>
          <cell r="U4447">
            <v>-2.001E-2</v>
          </cell>
          <cell r="V4447">
            <v>6.1599999999999997E-3</v>
          </cell>
          <cell r="W4447">
            <v>2.4740000000000002E-2</v>
          </cell>
          <cell r="Y4447">
            <v>-3.3520000000000001E-2</v>
          </cell>
          <cell r="Z4447">
            <v>-3.5729999999999998E-2</v>
          </cell>
          <cell r="AA4447">
            <v>-0.20587</v>
          </cell>
          <cell r="AB4447">
            <v>-0.43193999999999999</v>
          </cell>
          <cell r="AC4447">
            <v>0.16022</v>
          </cell>
          <cell r="AD4447">
            <v>1.8880000000000001E-2</v>
          </cell>
          <cell r="AE4447">
            <v>-3.0120000000000001E-2</v>
          </cell>
          <cell r="AF4447">
            <v>-2.647E-2</v>
          </cell>
          <cell r="AG4447">
            <v>-2.1479999999999999E-2</v>
          </cell>
          <cell r="AH4447">
            <v>1.2869999999999999E-2</v>
          </cell>
          <cell r="AI4447">
            <v>8.3099999999999997E-3</v>
          </cell>
          <cell r="AJ4447">
            <v>9.6900000000000007E-3</v>
          </cell>
          <cell r="AK4447">
            <v>1.2109999999999999E-2</v>
          </cell>
          <cell r="AL4447">
            <v>7.5599999999999999E-3</v>
          </cell>
          <cell r="AM4447">
            <v>-3.4099999999999998E-3</v>
          </cell>
          <cell r="AN4447">
            <v>-7.6400000000000001E-3</v>
          </cell>
          <cell r="AO4447">
            <v>-4.9099999999999998E-2</v>
          </cell>
          <cell r="AP4447">
            <v>-3.4000000000000002E-4</v>
          </cell>
        </row>
        <row r="4448">
          <cell r="D4448" t="str">
            <v>佐渡市</v>
          </cell>
          <cell r="E4448" t="str">
            <v>2030→2035</v>
          </cell>
          <cell r="F4448">
            <v>-5.8619999999999998E-2</v>
          </cell>
          <cell r="G4448">
            <v>-4.2549999999999998E-2</v>
          </cell>
          <cell r="H4448">
            <v>-0.20397000000000001</v>
          </cell>
          <cell r="I4448">
            <v>-0.38968000000000003</v>
          </cell>
          <cell r="J4448">
            <v>0.2666</v>
          </cell>
          <cell r="K4448">
            <v>-1.0749999999999999E-2</v>
          </cell>
          <cell r="L4448">
            <v>-3.2849999999999997E-2</v>
          </cell>
          <cell r="M4448">
            <v>-6.9499999999999996E-3</v>
          </cell>
          <cell r="N4448">
            <v>-8.5800000000000008E-3</v>
          </cell>
          <cell r="O4448">
            <v>-8.5599999999999999E-3</v>
          </cell>
          <cell r="P4448">
            <v>-1.17E-2</v>
          </cell>
          <cell r="Q4448">
            <v>-2.9099999999999998E-3</v>
          </cell>
          <cell r="R4448">
            <v>1.9009999999999999E-2</v>
          </cell>
          <cell r="S4448">
            <v>-1.763E-2</v>
          </cell>
          <cell r="T4448">
            <v>-1.48E-3</v>
          </cell>
          <cell r="U4448">
            <v>-2.5239999999999999E-2</v>
          </cell>
          <cell r="V4448">
            <v>1.383E-2</v>
          </cell>
          <cell r="W4448">
            <v>2.1409999999999998E-2</v>
          </cell>
          <cell r="Y4448">
            <v>-3.2719999999999999E-2</v>
          </cell>
          <cell r="Z4448">
            <v>-3.5560000000000001E-2</v>
          </cell>
          <cell r="AA4448">
            <v>-0.20587</v>
          </cell>
          <cell r="AB4448">
            <v>-0.43195</v>
          </cell>
          <cell r="AC4448">
            <v>0.16297</v>
          </cell>
          <cell r="AD4448">
            <v>1.7399999999999999E-2</v>
          </cell>
          <cell r="AE4448">
            <v>-3.1309999999999998E-2</v>
          </cell>
          <cell r="AF4448">
            <v>-2.606E-2</v>
          </cell>
          <cell r="AG4448">
            <v>-2.1309999999999999E-2</v>
          </cell>
          <cell r="AH4448">
            <v>1.3140000000000001E-2</v>
          </cell>
          <cell r="AI4448">
            <v>8.9499999999999996E-3</v>
          </cell>
          <cell r="AJ4448">
            <v>9.9900000000000006E-3</v>
          </cell>
          <cell r="AK4448">
            <v>1.2319999999999999E-2</v>
          </cell>
          <cell r="AL4448">
            <v>7.2199999999999999E-3</v>
          </cell>
          <cell r="AM4448">
            <v>-3.0699999999999998E-3</v>
          </cell>
          <cell r="AN4448">
            <v>-1.0789999999999999E-2</v>
          </cell>
          <cell r="AO4448">
            <v>-4.4639999999999999E-2</v>
          </cell>
          <cell r="AP4448">
            <v>-2.3900000000000002E-3</v>
          </cell>
        </row>
        <row r="4449">
          <cell r="D4449" t="str">
            <v>佐渡市</v>
          </cell>
          <cell r="E4449" t="str">
            <v>2035→2040</v>
          </cell>
          <cell r="F4449">
            <v>-5.824E-2</v>
          </cell>
          <cell r="G4449">
            <v>-4.2470000000000001E-2</v>
          </cell>
          <cell r="H4449">
            <v>-0.20397000000000001</v>
          </cell>
          <cell r="I4449">
            <v>-0.38974999999999999</v>
          </cell>
          <cell r="J4449">
            <v>0.27209</v>
          </cell>
          <cell r="K4449">
            <v>-1.0109999999999999E-2</v>
          </cell>
          <cell r="L4449">
            <v>-3.4479999999999997E-2</v>
          </cell>
          <cell r="M4449">
            <v>-8.3099999999999997E-3</v>
          </cell>
          <cell r="N4449">
            <v>-8.4700000000000001E-3</v>
          </cell>
          <cell r="O4449">
            <v>-8.1600000000000006E-3</v>
          </cell>
          <cell r="P4449">
            <v>-1.159E-2</v>
          </cell>
          <cell r="Q4449">
            <v>-2.3800000000000002E-3</v>
          </cell>
          <cell r="R4449">
            <v>1.84E-2</v>
          </cell>
          <cell r="S4449">
            <v>-1.7399999999999999E-2</v>
          </cell>
          <cell r="T4449">
            <v>-1.1199999999999999E-3</v>
          </cell>
          <cell r="U4449">
            <v>-2.3720000000000001E-2</v>
          </cell>
          <cell r="V4449">
            <v>7.0800000000000004E-3</v>
          </cell>
          <cell r="W4449">
            <v>3.1699999999999999E-2</v>
          </cell>
          <cell r="Y4449">
            <v>-3.209E-2</v>
          </cell>
          <cell r="Z4449">
            <v>-3.5479999999999998E-2</v>
          </cell>
          <cell r="AA4449">
            <v>-0.20587</v>
          </cell>
          <cell r="AB4449">
            <v>-0.43201000000000001</v>
          </cell>
          <cell r="AC4449">
            <v>0.16516</v>
          </cell>
          <cell r="AD4449">
            <v>1.8540000000000001E-2</v>
          </cell>
          <cell r="AE4449">
            <v>-3.2300000000000002E-2</v>
          </cell>
          <cell r="AF4449">
            <v>-2.7009999999999999E-2</v>
          </cell>
          <cell r="AG4449">
            <v>-2.1260000000000001E-2</v>
          </cell>
          <cell r="AH4449">
            <v>1.371E-2</v>
          </cell>
          <cell r="AI4449">
            <v>9.11E-3</v>
          </cell>
          <cell r="AJ4449">
            <v>1.064E-2</v>
          </cell>
          <cell r="AK4449">
            <v>1.2489999999999999E-2</v>
          </cell>
          <cell r="AL4449">
            <v>7.1500000000000001E-3</v>
          </cell>
          <cell r="AM4449">
            <v>-2.9099999999999998E-3</v>
          </cell>
          <cell r="AN4449">
            <v>-9.9100000000000004E-3</v>
          </cell>
          <cell r="AO4449">
            <v>-5.033E-2</v>
          </cell>
          <cell r="AP4449">
            <v>7.2399999999999999E-3</v>
          </cell>
        </row>
        <row r="4450">
          <cell r="D4450" t="str">
            <v>佐渡市</v>
          </cell>
          <cell r="E4450" t="str">
            <v>2040→2045</v>
          </cell>
          <cell r="F4450">
            <v>-5.8009999999999999E-2</v>
          </cell>
          <cell r="G4450">
            <v>-4.2410000000000003E-2</v>
          </cell>
          <cell r="H4450">
            <v>-0.20397000000000001</v>
          </cell>
          <cell r="I4450">
            <v>-0.38991999999999999</v>
          </cell>
          <cell r="J4450">
            <v>0.27444000000000002</v>
          </cell>
          <cell r="K4450">
            <v>-8.3000000000000001E-3</v>
          </cell>
          <cell r="L4450">
            <v>-3.4200000000000001E-2</v>
          </cell>
          <cell r="M4450">
            <v>-0.01</v>
          </cell>
          <cell r="N4450">
            <v>-9.5200000000000007E-3</v>
          </cell>
          <cell r="O4450">
            <v>-7.9500000000000005E-3</v>
          </cell>
          <cell r="P4450">
            <v>-1.1379999999999999E-2</v>
          </cell>
          <cell r="Q4450">
            <v>-2.2399999999999998E-3</v>
          </cell>
          <cell r="R4450">
            <v>1.949E-2</v>
          </cell>
          <cell r="S4450">
            <v>-1.8069999999999999E-2</v>
          </cell>
          <cell r="T4450">
            <v>-7.3999999999999999E-4</v>
          </cell>
          <cell r="U4450">
            <v>-2.2960000000000001E-2</v>
          </cell>
          <cell r="V4450">
            <v>9.2700000000000005E-3</v>
          </cell>
          <cell r="W4450">
            <v>9.2300000000000004E-3</v>
          </cell>
          <cell r="Y4450">
            <v>-3.1719999999999998E-2</v>
          </cell>
          <cell r="Z4450">
            <v>-3.5430000000000003E-2</v>
          </cell>
          <cell r="AA4450">
            <v>-0.20587</v>
          </cell>
          <cell r="AB4450">
            <v>-0.43218000000000001</v>
          </cell>
          <cell r="AC4450">
            <v>0.16650000000000001</v>
          </cell>
          <cell r="AD4450">
            <v>2.0070000000000001E-2</v>
          </cell>
          <cell r="AE4450">
            <v>-3.1719999999999998E-2</v>
          </cell>
          <cell r="AF4450">
            <v>-2.7720000000000002E-2</v>
          </cell>
          <cell r="AG4450">
            <v>-2.147E-2</v>
          </cell>
          <cell r="AH4450">
            <v>1.4080000000000001E-2</v>
          </cell>
          <cell r="AI4450">
            <v>9.5899999999999996E-3</v>
          </cell>
          <cell r="AJ4450">
            <v>1.0880000000000001E-2</v>
          </cell>
          <cell r="AK4450">
            <v>1.3390000000000001E-2</v>
          </cell>
          <cell r="AL4450">
            <v>7.0800000000000004E-3</v>
          </cell>
          <cell r="AM4450">
            <v>-2.7200000000000002E-3</v>
          </cell>
          <cell r="AN4450">
            <v>-9.3299999999999998E-3</v>
          </cell>
          <cell r="AO4450">
            <v>-4.8570000000000002E-2</v>
          </cell>
          <cell r="AP4450">
            <v>-1.38E-2</v>
          </cell>
        </row>
        <row r="4451">
          <cell r="D4451" t="str">
            <v>魚沼市</v>
          </cell>
          <cell r="E4451" t="str">
            <v>2015→2020</v>
          </cell>
          <cell r="F4451">
            <v>5.5599999999999998E-3</v>
          </cell>
          <cell r="G4451">
            <v>-1.324E-2</v>
          </cell>
          <cell r="H4451">
            <v>-0.18232999999999999</v>
          </cell>
          <cell r="I4451">
            <v>-0.37557000000000001</v>
          </cell>
          <cell r="J4451">
            <v>0.2306</v>
          </cell>
          <cell r="K4451">
            <v>-3.3980000000000003E-2</v>
          </cell>
          <cell r="L4451">
            <v>-2.0150000000000001E-2</v>
          </cell>
          <cell r="M4451">
            <v>8.1999999999999998E-4</v>
          </cell>
          <cell r="N4451">
            <v>-2.5510000000000001E-2</v>
          </cell>
          <cell r="O4451">
            <v>-1.8699999999999999E-3</v>
          </cell>
          <cell r="P4451">
            <v>-1.193E-2</v>
          </cell>
          <cell r="Q4451">
            <v>-4.2500000000000003E-3</v>
          </cell>
          <cell r="R4451">
            <v>-7.6000000000000004E-4</v>
          </cell>
          <cell r="S4451">
            <v>6.6800000000000002E-3</v>
          </cell>
          <cell r="T4451">
            <v>-7.7999999999999999E-4</v>
          </cell>
          <cell r="U4451">
            <v>-8.0300000000000007E-3</v>
          </cell>
          <cell r="V4451">
            <v>-3.372E-2</v>
          </cell>
          <cell r="W4451">
            <v>3.2210000000000003E-2</v>
          </cell>
          <cell r="Y4451">
            <v>-3.7499999999999999E-2</v>
          </cell>
          <cell r="Z4451">
            <v>-1.1509999999999999E-2</v>
          </cell>
          <cell r="AA4451">
            <v>-0.16768</v>
          </cell>
          <cell r="AB4451">
            <v>-0.43469999999999998</v>
          </cell>
          <cell r="AC4451">
            <v>0.13907</v>
          </cell>
          <cell r="AD4451">
            <v>-4.8799999999999998E-3</v>
          </cell>
          <cell r="AE4451">
            <v>-6.8029999999999993E-2</v>
          </cell>
          <cell r="AF4451">
            <v>-2.742E-2</v>
          </cell>
          <cell r="AG4451">
            <v>-1.7270000000000001E-2</v>
          </cell>
          <cell r="AH4451">
            <v>-1.226E-2</v>
          </cell>
          <cell r="AI4451">
            <v>-2.0899999999999998E-3</v>
          </cell>
          <cell r="AJ4451">
            <v>-1.5200000000000001E-3</v>
          </cell>
          <cell r="AK4451">
            <v>-2.8299999999999999E-2</v>
          </cell>
          <cell r="AL4451">
            <v>-1.018E-2</v>
          </cell>
          <cell r="AM4451">
            <v>-3.48E-3</v>
          </cell>
          <cell r="AN4451">
            <v>-1.3390000000000001E-2</v>
          </cell>
          <cell r="AO4451">
            <v>-1.7899999999999999E-2</v>
          </cell>
          <cell r="AP4451">
            <v>2.2839999999999999E-2</v>
          </cell>
        </row>
        <row r="4452">
          <cell r="D4452" t="str">
            <v>魚沼市</v>
          </cell>
          <cell r="E4452" t="str">
            <v>2020→2025</v>
          </cell>
          <cell r="F4452">
            <v>6.9699999999999996E-3</v>
          </cell>
          <cell r="G4452">
            <v>-1.269E-2</v>
          </cell>
          <cell r="H4452">
            <v>-0.18232999999999999</v>
          </cell>
          <cell r="I4452">
            <v>-0.37557000000000001</v>
          </cell>
          <cell r="J4452">
            <v>0.22825000000000001</v>
          </cell>
          <cell r="K4452">
            <v>-3.2169999999999997E-2</v>
          </cell>
          <cell r="L4452">
            <v>-1.8720000000000001E-2</v>
          </cell>
          <cell r="M4452">
            <v>7.26E-3</v>
          </cell>
          <cell r="N4452">
            <v>-2.4170000000000001E-2</v>
          </cell>
          <cell r="O4452">
            <v>-1.8E-3</v>
          </cell>
          <cell r="P4452">
            <v>-1.1730000000000001E-2</v>
          </cell>
          <cell r="Q4452">
            <v>-3.7699999999999999E-3</v>
          </cell>
          <cell r="R4452">
            <v>8.0999999999999996E-4</v>
          </cell>
          <cell r="S4452">
            <v>3.0400000000000002E-3</v>
          </cell>
          <cell r="T4452">
            <v>2.4199999999999998E-3</v>
          </cell>
          <cell r="U4452">
            <v>-9.92E-3</v>
          </cell>
          <cell r="V4452">
            <v>-3.5770000000000003E-2</v>
          </cell>
          <cell r="W4452">
            <v>2.4410000000000001E-2</v>
          </cell>
          <cell r="Y4452">
            <v>-3.6630000000000003E-2</v>
          </cell>
          <cell r="Z4452">
            <v>-1.0789999999999999E-2</v>
          </cell>
          <cell r="AA4452">
            <v>-0.16768</v>
          </cell>
          <cell r="AB4452">
            <v>-0.43526999999999999</v>
          </cell>
          <cell r="AC4452">
            <v>0.13575999999999999</v>
          </cell>
          <cell r="AD4452">
            <v>-1.5499999999999999E-3</v>
          </cell>
          <cell r="AE4452">
            <v>-6.6640000000000005E-2</v>
          </cell>
          <cell r="AF4452">
            <v>-2.4639999999999999E-2</v>
          </cell>
          <cell r="AG4452">
            <v>-1.5730000000000001E-2</v>
          </cell>
          <cell r="AH4452">
            <v>-1.2160000000000001E-2</v>
          </cell>
          <cell r="AI4452">
            <v>-1.8699999999999999E-3</v>
          </cell>
          <cell r="AJ4452">
            <v>-1.2899999999999999E-3</v>
          </cell>
          <cell r="AK4452">
            <v>-2.819E-2</v>
          </cell>
          <cell r="AL4452">
            <v>-1.1379999999999999E-2</v>
          </cell>
          <cell r="AM4452">
            <v>-1.8400000000000001E-3</v>
          </cell>
          <cell r="AN4452">
            <v>-1.447E-2</v>
          </cell>
          <cell r="AO4452">
            <v>-1.9429999999999999E-2</v>
          </cell>
          <cell r="AP4452">
            <v>1.562E-2</v>
          </cell>
        </row>
        <row r="4453">
          <cell r="D4453" t="str">
            <v>魚沼市</v>
          </cell>
          <cell r="E4453" t="str">
            <v>2025→2030</v>
          </cell>
          <cell r="F4453">
            <v>8.2699999999999996E-3</v>
          </cell>
          <cell r="G4453">
            <v>-1.2489999999999999E-2</v>
          </cell>
          <cell r="H4453">
            <v>-0.18232999999999999</v>
          </cell>
          <cell r="I4453">
            <v>-0.37557000000000001</v>
          </cell>
          <cell r="J4453">
            <v>0.22364999999999999</v>
          </cell>
          <cell r="K4453">
            <v>-3.4329999999999999E-2</v>
          </cell>
          <cell r="L4453">
            <v>-1.8370000000000001E-2</v>
          </cell>
          <cell r="M4453">
            <v>1.6809999999999999E-2</v>
          </cell>
          <cell r="N4453">
            <v>-2.2839999999999999E-2</v>
          </cell>
          <cell r="O4453">
            <v>8.0000000000000007E-5</v>
          </cell>
          <cell r="P4453">
            <v>-1.193E-2</v>
          </cell>
          <cell r="Q4453">
            <v>-3.32E-3</v>
          </cell>
          <cell r="R4453">
            <v>3.3400000000000001E-3</v>
          </cell>
          <cell r="S4453">
            <v>4.3200000000000001E-3</v>
          </cell>
          <cell r="T4453">
            <v>-1.08E-3</v>
          </cell>
          <cell r="U4453">
            <v>-5.1200000000000004E-3</v>
          </cell>
          <cell r="V4453">
            <v>-3.8390000000000001E-2</v>
          </cell>
          <cell r="W4453">
            <v>1.602E-2</v>
          </cell>
          <cell r="Y4453">
            <v>-3.5860000000000003E-2</v>
          </cell>
          <cell r="Z4453">
            <v>-1.057E-2</v>
          </cell>
          <cell r="AA4453">
            <v>-0.16768</v>
          </cell>
          <cell r="AB4453">
            <v>-0.43565999999999999</v>
          </cell>
          <cell r="AC4453">
            <v>0.13170000000000001</v>
          </cell>
          <cell r="AD4453">
            <v>-3.98E-3</v>
          </cell>
          <cell r="AE4453">
            <v>-6.608E-2</v>
          </cell>
          <cell r="AF4453">
            <v>-2.3810000000000001E-2</v>
          </cell>
          <cell r="AG4453">
            <v>-1.549E-2</v>
          </cell>
          <cell r="AH4453">
            <v>-1.146E-2</v>
          </cell>
          <cell r="AI4453">
            <v>-1.72E-3</v>
          </cell>
          <cell r="AJ4453">
            <v>-1.0399999999999999E-3</v>
          </cell>
          <cell r="AK4453">
            <v>-2.8080000000000001E-2</v>
          </cell>
          <cell r="AL4453">
            <v>-1.102E-2</v>
          </cell>
          <cell r="AM4453">
            <v>-3.48E-3</v>
          </cell>
          <cell r="AN4453">
            <v>-1.1429999999999999E-2</v>
          </cell>
          <cell r="AO4453">
            <v>-2.1590000000000002E-2</v>
          </cell>
          <cell r="AP4453">
            <v>5.3800000000000002E-3</v>
          </cell>
        </row>
        <row r="4454">
          <cell r="D4454" t="str">
            <v>魚沼市</v>
          </cell>
          <cell r="E4454" t="str">
            <v>2030→2035</v>
          </cell>
          <cell r="F4454">
            <v>8.8299999999999993E-3</v>
          </cell>
          <cell r="G4454">
            <v>-1.223E-2</v>
          </cell>
          <cell r="H4454">
            <v>-0.18232999999999999</v>
          </cell>
          <cell r="I4454">
            <v>-0.37557000000000001</v>
          </cell>
          <cell r="J4454">
            <v>0.22664999999999999</v>
          </cell>
          <cell r="K4454">
            <v>-3.635E-2</v>
          </cell>
          <cell r="L4454">
            <v>-2.0330000000000001E-2</v>
          </cell>
          <cell r="M4454">
            <v>1.6830000000000001E-2</v>
          </cell>
          <cell r="N4454">
            <v>-2.273E-2</v>
          </cell>
          <cell r="O4454">
            <v>3.5E-4</v>
          </cell>
          <cell r="P4454">
            <v>-1.112E-2</v>
          </cell>
          <cell r="Q4454">
            <v>-3.7200000000000002E-3</v>
          </cell>
          <cell r="R4454">
            <v>3.7499999999999999E-3</v>
          </cell>
          <cell r="S4454">
            <v>7.9699999999999997E-3</v>
          </cell>
          <cell r="T4454">
            <v>3.6000000000000002E-4</v>
          </cell>
          <cell r="U4454">
            <v>-1.031E-2</v>
          </cell>
          <cell r="V4454">
            <v>-3.193E-2</v>
          </cell>
          <cell r="W4454">
            <v>1.2019999999999999E-2</v>
          </cell>
          <cell r="Y4454">
            <v>-3.5529999999999999E-2</v>
          </cell>
          <cell r="Z4454">
            <v>-1.027E-2</v>
          </cell>
          <cell r="AA4454">
            <v>-0.16768</v>
          </cell>
          <cell r="AB4454">
            <v>-0.43579000000000001</v>
          </cell>
          <cell r="AC4454">
            <v>0.13306000000000001</v>
          </cell>
          <cell r="AD4454">
            <v>-6.2399999999999999E-3</v>
          </cell>
          <cell r="AE4454">
            <v>-6.6989999999999994E-2</v>
          </cell>
          <cell r="AF4454">
            <v>-2.3640000000000001E-2</v>
          </cell>
          <cell r="AG4454">
            <v>-1.525E-2</v>
          </cell>
          <cell r="AH4454">
            <v>-1.132E-2</v>
          </cell>
          <cell r="AI4454">
            <v>-1.0499999999999999E-3</v>
          </cell>
          <cell r="AJ4454">
            <v>-9.3999999999999997E-4</v>
          </cell>
          <cell r="AK4454">
            <v>-2.8000000000000001E-2</v>
          </cell>
          <cell r="AL4454">
            <v>-1.056E-2</v>
          </cell>
          <cell r="AM4454">
            <v>-2.63E-3</v>
          </cell>
          <cell r="AN4454">
            <v>-1.387E-2</v>
          </cell>
          <cell r="AO4454">
            <v>-1.6160000000000001E-2</v>
          </cell>
          <cell r="AP4454">
            <v>2.63E-3</v>
          </cell>
        </row>
        <row r="4455">
          <cell r="D4455" t="str">
            <v>魚沼市</v>
          </cell>
          <cell r="E4455" t="str">
            <v>2035→2040</v>
          </cell>
          <cell r="F4455">
            <v>9.2300000000000004E-3</v>
          </cell>
          <cell r="G4455">
            <v>-1.218E-2</v>
          </cell>
          <cell r="H4455">
            <v>-0.18232999999999999</v>
          </cell>
          <cell r="I4455">
            <v>-0.37557000000000001</v>
          </cell>
          <cell r="J4455">
            <v>0.22982</v>
          </cell>
          <cell r="K4455">
            <v>-3.601E-2</v>
          </cell>
          <cell r="L4455">
            <v>-2.2100000000000002E-2</v>
          </cell>
          <cell r="M4455">
            <v>1.4800000000000001E-2</v>
          </cell>
          <cell r="N4455">
            <v>-2.2769999999999999E-2</v>
          </cell>
          <cell r="O4455">
            <v>5.5000000000000003E-4</v>
          </cell>
          <cell r="P4455">
            <v>-1.099E-2</v>
          </cell>
          <cell r="Q4455">
            <v>-2.8400000000000001E-3</v>
          </cell>
          <cell r="R4455">
            <v>3.0699999999999998E-3</v>
          </cell>
          <cell r="S4455">
            <v>8.0700000000000008E-3</v>
          </cell>
          <cell r="T4455">
            <v>7.9000000000000001E-4</v>
          </cell>
          <cell r="U4455">
            <v>-8.6899999999999998E-3</v>
          </cell>
          <cell r="V4455">
            <v>-3.8989999999999997E-2</v>
          </cell>
          <cell r="W4455">
            <v>2.232E-2</v>
          </cell>
          <cell r="Y4455">
            <v>-3.5310000000000001E-2</v>
          </cell>
          <cell r="Z4455">
            <v>-1.022E-2</v>
          </cell>
          <cell r="AA4455">
            <v>-0.16768</v>
          </cell>
          <cell r="AB4455">
            <v>-0.43596000000000001</v>
          </cell>
          <cell r="AC4455">
            <v>0.13555</v>
          </cell>
          <cell r="AD4455">
            <v>-5.8100000000000001E-3</v>
          </cell>
          <cell r="AE4455">
            <v>-6.7830000000000001E-2</v>
          </cell>
          <cell r="AF4455">
            <v>-2.4539999999999999E-2</v>
          </cell>
          <cell r="AG4455">
            <v>-1.524E-2</v>
          </cell>
          <cell r="AH4455">
            <v>-1.112E-2</v>
          </cell>
          <cell r="AI4455">
            <v>-9.2000000000000003E-4</v>
          </cell>
          <cell r="AJ4455">
            <v>-4.2000000000000002E-4</v>
          </cell>
          <cell r="AK4455">
            <v>-2.8170000000000001E-2</v>
          </cell>
          <cell r="AL4455">
            <v>-1.051E-2</v>
          </cell>
          <cell r="AM4455">
            <v>-2.6900000000000001E-3</v>
          </cell>
          <cell r="AN4455">
            <v>-1.3270000000000001E-2</v>
          </cell>
          <cell r="AO4455">
            <v>-2.0820000000000002E-2</v>
          </cell>
          <cell r="AP4455">
            <v>1.286E-2</v>
          </cell>
        </row>
        <row r="4456">
          <cell r="D4456" t="str">
            <v>魚沼市</v>
          </cell>
          <cell r="E4456" t="str">
            <v>2040→2045</v>
          </cell>
          <cell r="F4456">
            <v>9.41E-3</v>
          </cell>
          <cell r="G4456">
            <v>-1.218E-2</v>
          </cell>
          <cell r="H4456">
            <v>-0.18232999999999999</v>
          </cell>
          <cell r="I4456">
            <v>-0.37557000000000001</v>
          </cell>
          <cell r="J4456">
            <v>0.23155999999999999</v>
          </cell>
          <cell r="K4456">
            <v>-3.5209999999999998E-2</v>
          </cell>
          <cell r="L4456">
            <v>-2.1930000000000002E-2</v>
          </cell>
          <cell r="M4456">
            <v>1.308E-2</v>
          </cell>
          <cell r="N4456">
            <v>-2.3740000000000001E-2</v>
          </cell>
          <cell r="O4456">
            <v>6.6E-4</v>
          </cell>
          <cell r="P4456">
            <v>-1.0880000000000001E-2</v>
          </cell>
          <cell r="Q4456">
            <v>-2.5799999999999998E-3</v>
          </cell>
          <cell r="R4456">
            <v>3.82E-3</v>
          </cell>
          <cell r="S4456">
            <v>7.2399999999999999E-3</v>
          </cell>
          <cell r="T4456">
            <v>1.0499999999999999E-3</v>
          </cell>
          <cell r="U4456">
            <v>-8.1200000000000005E-3</v>
          </cell>
          <cell r="V4456">
            <v>-3.6679999999999997E-2</v>
          </cell>
          <cell r="W4456">
            <v>4.6999999999999999E-4</v>
          </cell>
          <cell r="Y4456">
            <v>-3.5229999999999997E-2</v>
          </cell>
          <cell r="Z4456">
            <v>-1.023E-2</v>
          </cell>
          <cell r="AA4456">
            <v>-0.16768</v>
          </cell>
          <cell r="AB4456">
            <v>-0.43623000000000001</v>
          </cell>
          <cell r="AC4456">
            <v>0.13685</v>
          </cell>
          <cell r="AD4456">
            <v>-4.1700000000000001E-3</v>
          </cell>
          <cell r="AE4456">
            <v>-6.7720000000000002E-2</v>
          </cell>
          <cell r="AF4456">
            <v>-2.528E-2</v>
          </cell>
          <cell r="AG4456">
            <v>-1.5740000000000001E-2</v>
          </cell>
          <cell r="AH4456">
            <v>-1.099E-2</v>
          </cell>
          <cell r="AI4456">
            <v>-6.0999999999999997E-4</v>
          </cell>
          <cell r="AJ4456">
            <v>-2.5000000000000001E-4</v>
          </cell>
          <cell r="AK4456">
            <v>-2.826E-2</v>
          </cell>
          <cell r="AL4456">
            <v>-1.078E-2</v>
          </cell>
          <cell r="AM4456">
            <v>-2.5799999999999998E-3</v>
          </cell>
          <cell r="AN4456">
            <v>-1.315E-2</v>
          </cell>
          <cell r="AO4456">
            <v>-1.9539999999999998E-2</v>
          </cell>
          <cell r="AP4456">
            <v>-9.5999999999999992E-3</v>
          </cell>
        </row>
        <row r="4457">
          <cell r="D4457" t="str">
            <v>南魚沼市</v>
          </cell>
          <cell r="E4457" t="str">
            <v>2015→2020</v>
          </cell>
          <cell r="F4457">
            <v>-2.1489999999999999E-2</v>
          </cell>
          <cell r="G4457">
            <v>-2.0400000000000001E-3</v>
          </cell>
          <cell r="H4457">
            <v>-0.11899999999999999</v>
          </cell>
          <cell r="I4457">
            <v>-0.29882999999999998</v>
          </cell>
          <cell r="J4457">
            <v>0.13242000000000001</v>
          </cell>
          <cell r="K4457">
            <v>0</v>
          </cell>
          <cell r="L4457">
            <v>-1.256E-2</v>
          </cell>
          <cell r="M4457">
            <v>-1.617E-2</v>
          </cell>
          <cell r="N4457">
            <v>-3.4399999999999999E-3</v>
          </cell>
          <cell r="O4457">
            <v>-4.8500000000000001E-3</v>
          </cell>
          <cell r="P4457">
            <v>-6.8300000000000001E-3</v>
          </cell>
          <cell r="Q4457">
            <v>-3.1900000000000001E-3</v>
          </cell>
          <cell r="R4457">
            <v>-8.1099999999999992E-3</v>
          </cell>
          <cell r="S4457">
            <v>-8.1899999999999994E-3</v>
          </cell>
          <cell r="T4457">
            <v>-1.9499999999999999E-3</v>
          </cell>
          <cell r="U4457">
            <v>-2.8300000000000001E-3</v>
          </cell>
          <cell r="V4457">
            <v>-1.336E-2</v>
          </cell>
          <cell r="W4457">
            <v>5.8009999999999999E-2</v>
          </cell>
          <cell r="Y4457">
            <v>-1.1979999999999999E-2</v>
          </cell>
          <cell r="Z4457">
            <v>-2.5559999999999999E-2</v>
          </cell>
          <cell r="AA4457">
            <v>-9.11E-2</v>
          </cell>
          <cell r="AB4457">
            <v>-0.19142999999999999</v>
          </cell>
          <cell r="AC4457">
            <v>-6.8930000000000005E-2</v>
          </cell>
          <cell r="AD4457">
            <v>-1.2109999999999999E-2</v>
          </cell>
          <cell r="AE4457">
            <v>1.9499999999999999E-3</v>
          </cell>
          <cell r="AF4457">
            <v>-1.3950000000000001E-2</v>
          </cell>
          <cell r="AG4457">
            <v>-1.4239999999999999E-2</v>
          </cell>
          <cell r="AH4457">
            <v>-2.3890000000000002E-2</v>
          </cell>
          <cell r="AI4457">
            <v>-8.1399999999999997E-3</v>
          </cell>
          <cell r="AJ4457">
            <v>-5.7400000000000003E-3</v>
          </cell>
          <cell r="AK4457">
            <v>-9.5999999999999992E-3</v>
          </cell>
          <cell r="AL4457">
            <v>-3.0100000000000001E-3</v>
          </cell>
          <cell r="AM4457">
            <v>-2.3820000000000001E-2</v>
          </cell>
          <cell r="AN4457">
            <v>-2.1250000000000002E-2</v>
          </cell>
          <cell r="AO4457">
            <v>1.49E-2</v>
          </cell>
          <cell r="AP4457">
            <v>5.4179999999999999E-2</v>
          </cell>
        </row>
        <row r="4458">
          <cell r="D4458" t="str">
            <v>南魚沼市</v>
          </cell>
          <cell r="E4458" t="str">
            <v>2020→2025</v>
          </cell>
          <cell r="F4458">
            <v>-2.0719999999999999E-2</v>
          </cell>
          <cell r="G4458">
            <v>-1.4E-3</v>
          </cell>
          <cell r="H4458">
            <v>-0.11926</v>
          </cell>
          <cell r="I4458">
            <v>-0.30026000000000003</v>
          </cell>
          <cell r="J4458">
            <v>0.13111999999999999</v>
          </cell>
          <cell r="K4458">
            <v>2.0600000000000002E-3</v>
          </cell>
          <cell r="L4458">
            <v>-7.9600000000000001E-3</v>
          </cell>
          <cell r="M4458">
            <v>-1.754E-2</v>
          </cell>
          <cell r="N4458">
            <v>-8.0599999999999995E-3</v>
          </cell>
          <cell r="O4458">
            <v>-4.8399999999999997E-3</v>
          </cell>
          <cell r="P4458">
            <v>-6.5300000000000002E-3</v>
          </cell>
          <cell r="Q4458">
            <v>-2.6700000000000001E-3</v>
          </cell>
          <cell r="R4458">
            <v>-6.5900000000000004E-3</v>
          </cell>
          <cell r="S4458">
            <v>-1.074E-2</v>
          </cell>
          <cell r="T4458">
            <v>1.0200000000000001E-3</v>
          </cell>
          <cell r="U4458">
            <v>-5.0099999999999997E-3</v>
          </cell>
          <cell r="V4458">
            <v>-1.5520000000000001E-2</v>
          </cell>
          <cell r="W4458">
            <v>5.0029999999999998E-2</v>
          </cell>
          <cell r="Y4458">
            <v>-1.115E-2</v>
          </cell>
          <cell r="Z4458">
            <v>-2.5239999999999999E-2</v>
          </cell>
          <cell r="AA4458">
            <v>-9.1969999999999996E-2</v>
          </cell>
          <cell r="AB4458">
            <v>-0.19417999999999999</v>
          </cell>
          <cell r="AC4458">
            <v>-6.1519999999999998E-2</v>
          </cell>
          <cell r="AD4458">
            <v>-9.4800000000000006E-3</v>
          </cell>
          <cell r="AE4458">
            <v>4.4000000000000003E-3</v>
          </cell>
          <cell r="AF4458">
            <v>-1.0359999999999999E-2</v>
          </cell>
          <cell r="AG4458">
            <v>-1.566E-2</v>
          </cell>
          <cell r="AH4458">
            <v>-2.384E-2</v>
          </cell>
          <cell r="AI4458">
            <v>-7.9600000000000001E-3</v>
          </cell>
          <cell r="AJ4458">
            <v>-5.5300000000000002E-3</v>
          </cell>
          <cell r="AK4458">
            <v>-8.8999999999999999E-3</v>
          </cell>
          <cell r="AL4458">
            <v>-5.4299999999999999E-3</v>
          </cell>
          <cell r="AM4458">
            <v>-2.2519999999999998E-2</v>
          </cell>
          <cell r="AN4458">
            <v>-2.1829999999999999E-2</v>
          </cell>
          <cell r="AO4458">
            <v>1.324E-2</v>
          </cell>
          <cell r="AP4458">
            <v>4.6879999999999998E-2</v>
          </cell>
        </row>
        <row r="4459">
          <cell r="D4459" t="str">
            <v>南魚沼市</v>
          </cell>
          <cell r="E4459" t="str">
            <v>2025→2030</v>
          </cell>
          <cell r="F4459">
            <v>-2.001E-2</v>
          </cell>
          <cell r="G4459">
            <v>-1.1900000000000001E-3</v>
          </cell>
          <cell r="H4459">
            <v>-0.11927</v>
          </cell>
          <cell r="I4459">
            <v>-0.30108000000000001</v>
          </cell>
          <cell r="J4459">
            <v>0.1275</v>
          </cell>
          <cell r="K4459">
            <v>1.3999999999999999E-4</v>
          </cell>
          <cell r="L4459">
            <v>-7.5500000000000003E-3</v>
          </cell>
          <cell r="M4459">
            <v>-1.0160000000000001E-2</v>
          </cell>
          <cell r="N4459">
            <v>-9.7400000000000004E-3</v>
          </cell>
          <cell r="O4459">
            <v>-3.0300000000000001E-3</v>
          </cell>
          <cell r="P4459">
            <v>-6.8100000000000001E-3</v>
          </cell>
          <cell r="Q4459">
            <v>-2.2200000000000002E-3</v>
          </cell>
          <cell r="R4459">
            <v>-5.4099999999999999E-3</v>
          </cell>
          <cell r="S4459">
            <v>-9.6799999999999994E-3</v>
          </cell>
          <cell r="T4459">
            <v>-3.1700000000000001E-3</v>
          </cell>
          <cell r="U4459">
            <v>2.1000000000000001E-4</v>
          </cell>
          <cell r="V4459">
            <v>-1.8370000000000001E-2</v>
          </cell>
          <cell r="W4459">
            <v>4.1300000000000003E-2</v>
          </cell>
          <cell r="Y4459">
            <v>-1.0449999999999999E-2</v>
          </cell>
          <cell r="Z4459">
            <v>-2.5149999999999999E-2</v>
          </cell>
          <cell r="AA4459">
            <v>-9.2230000000000006E-2</v>
          </cell>
          <cell r="AB4459">
            <v>-0.19661000000000001</v>
          </cell>
          <cell r="AC4459">
            <v>-6.3170000000000004E-2</v>
          </cell>
          <cell r="AD4459">
            <v>-1.1809999999999999E-2</v>
          </cell>
          <cell r="AE4459">
            <v>5.11E-3</v>
          </cell>
          <cell r="AF4459">
            <v>-4.47E-3</v>
          </cell>
          <cell r="AG4459">
            <v>-1.4500000000000001E-2</v>
          </cell>
          <cell r="AH4459">
            <v>-2.3640000000000001E-2</v>
          </cell>
          <cell r="AI4459">
            <v>-7.8399999999999997E-3</v>
          </cell>
          <cell r="AJ4459">
            <v>-5.3800000000000002E-3</v>
          </cell>
          <cell r="AK4459">
            <v>-7.4700000000000001E-3</v>
          </cell>
          <cell r="AL4459">
            <v>-4.6299999999999996E-3</v>
          </cell>
          <cell r="AM4459">
            <v>-2.4160000000000001E-2</v>
          </cell>
          <cell r="AN4459">
            <v>-1.9189999999999999E-2</v>
          </cell>
          <cell r="AO4459">
            <v>1.0500000000000001E-2</v>
          </cell>
          <cell r="AP4459">
            <v>3.6519999999999997E-2</v>
          </cell>
        </row>
        <row r="4460">
          <cell r="D4460" t="str">
            <v>南魚沼市</v>
          </cell>
          <cell r="E4460" t="str">
            <v>2030→2035</v>
          </cell>
          <cell r="F4460">
            <v>-1.967E-2</v>
          </cell>
          <cell r="G4460">
            <v>-9.2000000000000003E-4</v>
          </cell>
          <cell r="H4460">
            <v>-0.11934</v>
          </cell>
          <cell r="I4460">
            <v>-0.30125999999999997</v>
          </cell>
          <cell r="J4460">
            <v>0.12911</v>
          </cell>
          <cell r="K4460">
            <v>-1.98E-3</v>
          </cell>
          <cell r="L4460">
            <v>-9.0600000000000003E-3</v>
          </cell>
          <cell r="M4460">
            <v>-7.9900000000000006E-3</v>
          </cell>
          <cell r="N4460">
            <v>-3.0899999999999999E-3</v>
          </cell>
          <cell r="O4460">
            <v>-2.8500000000000001E-3</v>
          </cell>
          <cell r="P4460">
            <v>-5.8799999999999998E-3</v>
          </cell>
          <cell r="Q4460">
            <v>-2.6199999999999999E-3</v>
          </cell>
          <cell r="R4460">
            <v>-5.0699999999999999E-3</v>
          </cell>
          <cell r="S4460">
            <v>-8.0999999999999996E-3</v>
          </cell>
          <cell r="T4460">
            <v>-1.56E-3</v>
          </cell>
          <cell r="U4460">
            <v>-5.9100000000000003E-3</v>
          </cell>
          <cell r="V4460">
            <v>-1.1390000000000001E-2</v>
          </cell>
          <cell r="W4460">
            <v>3.7190000000000001E-2</v>
          </cell>
          <cell r="Y4460">
            <v>-1.0120000000000001E-2</v>
          </cell>
          <cell r="Z4460">
            <v>-2.5020000000000001E-2</v>
          </cell>
          <cell r="AA4460">
            <v>-9.2460000000000001E-2</v>
          </cell>
          <cell r="AB4460">
            <v>-0.19761000000000001</v>
          </cell>
          <cell r="AC4460">
            <v>-6.2759999999999996E-2</v>
          </cell>
          <cell r="AD4460">
            <v>-1.341E-2</v>
          </cell>
          <cell r="AE4460">
            <v>3.6099999999999999E-3</v>
          </cell>
          <cell r="AF4460">
            <v>-6.3E-3</v>
          </cell>
          <cell r="AG4460">
            <v>-1.281E-2</v>
          </cell>
          <cell r="AH4460">
            <v>-2.3460000000000002E-2</v>
          </cell>
          <cell r="AI4460">
            <v>-7.3499999999999998E-3</v>
          </cell>
          <cell r="AJ4460">
            <v>-5.3200000000000001E-3</v>
          </cell>
          <cell r="AK4460">
            <v>-7.4099999999999999E-3</v>
          </cell>
          <cell r="AL4460">
            <v>-2.31E-3</v>
          </cell>
          <cell r="AM4460">
            <v>-2.3709999999999998E-2</v>
          </cell>
          <cell r="AN4460">
            <v>-2.231E-2</v>
          </cell>
          <cell r="AO4460">
            <v>1.6549999999999999E-2</v>
          </cell>
          <cell r="AP4460">
            <v>3.3570000000000003E-2</v>
          </cell>
        </row>
        <row r="4461">
          <cell r="D4461" t="str">
            <v>南魚沼市</v>
          </cell>
          <cell r="E4461" t="str">
            <v>2035→2040</v>
          </cell>
          <cell r="F4461">
            <v>-1.942E-2</v>
          </cell>
          <cell r="G4461">
            <v>-8.4999999999999995E-4</v>
          </cell>
          <cell r="H4461">
            <v>-0.11941</v>
          </cell>
          <cell r="I4461">
            <v>-0.30159999999999998</v>
          </cell>
          <cell r="J4461">
            <v>0.13167000000000001</v>
          </cell>
          <cell r="K4461">
            <v>-1.9499999999999999E-3</v>
          </cell>
          <cell r="L4461">
            <v>-1.057E-2</v>
          </cell>
          <cell r="M4461">
            <v>-5.6299999999999996E-3</v>
          </cell>
          <cell r="N4461">
            <v>-1.25E-3</v>
          </cell>
          <cell r="O4461">
            <v>-2.5000000000000001E-3</v>
          </cell>
          <cell r="P4461">
            <v>-5.7499999999999999E-3</v>
          </cell>
          <cell r="Q4461">
            <v>-1.8799999999999999E-3</v>
          </cell>
          <cell r="R4461">
            <v>-5.6800000000000002E-3</v>
          </cell>
          <cell r="S4461">
            <v>-7.5799999999999999E-3</v>
          </cell>
          <cell r="T4461">
            <v>-5.5999999999999995E-4</v>
          </cell>
          <cell r="U4461">
            <v>-2.9499999999999999E-3</v>
          </cell>
          <cell r="V4461">
            <v>-1.864E-2</v>
          </cell>
          <cell r="W4461">
            <v>4.8250000000000001E-2</v>
          </cell>
          <cell r="Y4461">
            <v>-9.9000000000000008E-3</v>
          </cell>
          <cell r="Z4461">
            <v>-2.5000000000000001E-2</v>
          </cell>
          <cell r="AA4461">
            <v>-9.2859999999999998E-2</v>
          </cell>
          <cell r="AB4461">
            <v>-0.19847999999999999</v>
          </cell>
          <cell r="AC4461">
            <v>-6.173E-2</v>
          </cell>
          <cell r="AD4461">
            <v>-1.3299999999999999E-2</v>
          </cell>
          <cell r="AE4461">
            <v>2.5200000000000001E-3</v>
          </cell>
          <cell r="AF4461">
            <v>-3.9100000000000003E-3</v>
          </cell>
          <cell r="AG4461">
            <v>-1.3169999999999999E-2</v>
          </cell>
          <cell r="AH4461">
            <v>-2.334E-2</v>
          </cell>
          <cell r="AI4461">
            <v>-7.2300000000000003E-3</v>
          </cell>
          <cell r="AJ4461">
            <v>-5.0200000000000002E-3</v>
          </cell>
          <cell r="AK4461">
            <v>-7.5300000000000002E-3</v>
          </cell>
          <cell r="AL4461">
            <v>-2.0999999999999999E-3</v>
          </cell>
          <cell r="AM4461">
            <v>-2.3400000000000001E-2</v>
          </cell>
          <cell r="AN4461">
            <v>-2.1420000000000002E-2</v>
          </cell>
          <cell r="AO4461">
            <v>1.2370000000000001E-2</v>
          </cell>
          <cell r="AP4461">
            <v>4.4080000000000001E-2</v>
          </cell>
        </row>
        <row r="4462">
          <cell r="D4462" t="str">
            <v>南魚沼市</v>
          </cell>
          <cell r="E4462" t="str">
            <v>2040→2045</v>
          </cell>
          <cell r="F4462">
            <v>-1.932E-2</v>
          </cell>
          <cell r="G4462">
            <v>-8.3000000000000001E-4</v>
          </cell>
          <cell r="H4462">
            <v>-0.11967999999999999</v>
          </cell>
          <cell r="I4462">
            <v>-0.30209000000000003</v>
          </cell>
          <cell r="J4462">
            <v>0.13278999999999999</v>
          </cell>
          <cell r="K4462">
            <v>-1.0200000000000001E-3</v>
          </cell>
          <cell r="L4462">
            <v>-1.059E-2</v>
          </cell>
          <cell r="M4462">
            <v>-6.8900000000000003E-3</v>
          </cell>
          <cell r="N4462">
            <v>-3.2000000000000003E-4</v>
          </cell>
          <cell r="O4462">
            <v>-2.3600000000000001E-3</v>
          </cell>
          <cell r="P4462">
            <v>-5.5599999999999998E-3</v>
          </cell>
          <cell r="Q4462">
            <v>-1.67E-3</v>
          </cell>
          <cell r="R4462">
            <v>-5.3899999999999998E-3</v>
          </cell>
          <cell r="S4462">
            <v>-8.3300000000000006E-3</v>
          </cell>
          <cell r="T4462">
            <v>-2.5000000000000001E-4</v>
          </cell>
          <cell r="U4462">
            <v>-2.6900000000000001E-3</v>
          </cell>
          <cell r="V4462">
            <v>-1.6240000000000001E-2</v>
          </cell>
          <cell r="W4462">
            <v>2.5159999999999998E-2</v>
          </cell>
          <cell r="Y4462">
            <v>-9.8300000000000002E-3</v>
          </cell>
          <cell r="Z4462">
            <v>-2.5000000000000001E-2</v>
          </cell>
          <cell r="AA4462">
            <v>-9.3939999999999996E-2</v>
          </cell>
          <cell r="AB4462">
            <v>-0.20004</v>
          </cell>
          <cell r="AC4462">
            <v>-6.1039999999999997E-2</v>
          </cell>
          <cell r="AD4462">
            <v>-1.206E-2</v>
          </cell>
          <cell r="AE4462">
            <v>2.5699999999999998E-3</v>
          </cell>
          <cell r="AF4462">
            <v>-4.5599999999999998E-3</v>
          </cell>
          <cell r="AG4462">
            <v>-1.32E-2</v>
          </cell>
          <cell r="AH4462">
            <v>-2.3290000000000002E-2</v>
          </cell>
          <cell r="AI4462">
            <v>-6.94E-3</v>
          </cell>
          <cell r="AJ4462">
            <v>-4.9100000000000003E-3</v>
          </cell>
          <cell r="AK4462">
            <v>-7.2399999999999999E-3</v>
          </cell>
          <cell r="AL4462">
            <v>-2.32E-3</v>
          </cell>
          <cell r="AM4462">
            <v>-2.317E-2</v>
          </cell>
          <cell r="AN4462">
            <v>-2.086E-2</v>
          </cell>
          <cell r="AO4462">
            <v>1.3480000000000001E-2</v>
          </cell>
          <cell r="AP4462">
            <v>2.1489999999999999E-2</v>
          </cell>
        </row>
        <row r="4463">
          <cell r="D4463" t="str">
            <v>胎内市</v>
          </cell>
          <cell r="E4463" t="str">
            <v>2015→2020</v>
          </cell>
          <cell r="F4463">
            <v>3.0020000000000002E-2</v>
          </cell>
          <cell r="G4463">
            <v>1.353E-2</v>
          </cell>
          <cell r="H4463">
            <v>-2.7660000000000001E-2</v>
          </cell>
          <cell r="I4463">
            <v>-0.22639000000000001</v>
          </cell>
          <cell r="J4463">
            <v>0.12389</v>
          </cell>
          <cell r="K4463">
            <v>1.2970000000000001E-2</v>
          </cell>
          <cell r="L4463">
            <v>-1.0489999999999999E-2</v>
          </cell>
          <cell r="M4463">
            <v>-1.085E-2</v>
          </cell>
          <cell r="N4463">
            <v>-1.3440000000000001E-2</v>
          </cell>
          <cell r="O4463">
            <v>-1.7899999999999999E-3</v>
          </cell>
          <cell r="P4463">
            <v>-9.8999999999999999E-4</v>
          </cell>
          <cell r="Q4463">
            <v>-4.45E-3</v>
          </cell>
          <cell r="R4463">
            <v>1.14E-2</v>
          </cell>
          <cell r="S4463">
            <v>3.1900000000000001E-3</v>
          </cell>
          <cell r="T4463">
            <v>6.11E-3</v>
          </cell>
          <cell r="U4463">
            <v>-2.6929999999999999E-2</v>
          </cell>
          <cell r="V4463">
            <v>-7.4060000000000001E-2</v>
          </cell>
          <cell r="W4463">
            <v>5.77E-3</v>
          </cell>
          <cell r="Y4463">
            <v>7.3450000000000001E-2</v>
          </cell>
          <cell r="Z4463">
            <v>-1.1610000000000001E-2</v>
          </cell>
          <cell r="AA4463">
            <v>-3.9910000000000001E-2</v>
          </cell>
          <cell r="AB4463">
            <v>-0.30818000000000001</v>
          </cell>
          <cell r="AC4463">
            <v>6.8949999999999997E-2</v>
          </cell>
          <cell r="AD4463">
            <v>-1.174E-2</v>
          </cell>
          <cell r="AE4463">
            <v>-4.45E-3</v>
          </cell>
          <cell r="AF4463">
            <v>1.089E-2</v>
          </cell>
          <cell r="AG4463">
            <v>-9.6799999999999994E-3</v>
          </cell>
          <cell r="AH4463">
            <v>-7.3099999999999997E-3</v>
          </cell>
          <cell r="AI4463">
            <v>3.5999999999999999E-3</v>
          </cell>
          <cell r="AJ4463">
            <v>5.47E-3</v>
          </cell>
          <cell r="AK4463">
            <v>1.7099999999999999E-3</v>
          </cell>
          <cell r="AL4463">
            <v>8.2299999999999995E-3</v>
          </cell>
          <cell r="AM4463">
            <v>1.2999999999999999E-2</v>
          </cell>
          <cell r="AN4463">
            <v>7.9799999999999992E-3</v>
          </cell>
          <cell r="AO4463">
            <v>-1.7649999999999999E-2</v>
          </cell>
          <cell r="AP4463">
            <v>4.6870000000000002E-2</v>
          </cell>
        </row>
        <row r="4464">
          <cell r="D4464" t="str">
            <v>胎内市</v>
          </cell>
          <cell r="E4464" t="str">
            <v>2020→2025</v>
          </cell>
          <cell r="F4464">
            <v>3.1449999999999999E-2</v>
          </cell>
          <cell r="G4464">
            <v>1.465E-2</v>
          </cell>
          <cell r="H4464">
            <v>-2.9790000000000001E-2</v>
          </cell>
          <cell r="I4464">
            <v>-0.22684000000000001</v>
          </cell>
          <cell r="J4464">
            <v>0.11858</v>
          </cell>
          <cell r="K4464">
            <v>2.0920000000000001E-2</v>
          </cell>
          <cell r="L4464">
            <v>-8.0499999999999999E-3</v>
          </cell>
          <cell r="M4464">
            <v>-8.3899999999999999E-3</v>
          </cell>
          <cell r="N4464">
            <v>-0.01</v>
          </cell>
          <cell r="O4464">
            <v>-1.48E-3</v>
          </cell>
          <cell r="P4464">
            <v>-1.2999999999999999E-3</v>
          </cell>
          <cell r="Q4464">
            <v>-4.5199999999999997E-3</v>
          </cell>
          <cell r="R4464">
            <v>1.3469999999999999E-2</v>
          </cell>
          <cell r="S4464">
            <v>1.5900000000000001E-3</v>
          </cell>
          <cell r="T4464">
            <v>9.1999999999999998E-3</v>
          </cell>
          <cell r="U4464">
            <v>-2.8709999999999999E-2</v>
          </cell>
          <cell r="V4464">
            <v>-7.5859999999999997E-2</v>
          </cell>
          <cell r="W4464">
            <v>-4.0999999999999999E-4</v>
          </cell>
          <cell r="Y4464">
            <v>8.1409999999999996E-2</v>
          </cell>
          <cell r="Z4464">
            <v>-1.076E-2</v>
          </cell>
          <cell r="AA4464">
            <v>-4.1029999999999997E-2</v>
          </cell>
          <cell r="AB4464">
            <v>-0.30756</v>
          </cell>
          <cell r="AC4464">
            <v>6.1940000000000002E-2</v>
          </cell>
          <cell r="AD4464">
            <v>-8.9999999999999998E-4</v>
          </cell>
          <cell r="AE4464">
            <v>-9.2000000000000003E-4</v>
          </cell>
          <cell r="AF4464">
            <v>1.755E-2</v>
          </cell>
          <cell r="AG4464">
            <v>-8.4499999999999992E-3</v>
          </cell>
          <cell r="AH4464">
            <v>-7.2100000000000003E-3</v>
          </cell>
          <cell r="AI4464">
            <v>3.3999999999999998E-3</v>
          </cell>
          <cell r="AJ4464">
            <v>5.3800000000000002E-3</v>
          </cell>
          <cell r="AK4464">
            <v>3.3E-3</v>
          </cell>
          <cell r="AL4464">
            <v>6.1399999999999996E-3</v>
          </cell>
          <cell r="AM4464">
            <v>1.583E-2</v>
          </cell>
          <cell r="AN4464">
            <v>6.1399999999999996E-3</v>
          </cell>
          <cell r="AO4464">
            <v>-1.9210000000000001E-2</v>
          </cell>
          <cell r="AP4464">
            <v>4.2549999999999998E-2</v>
          </cell>
        </row>
        <row r="4465">
          <cell r="D4465" t="str">
            <v>胎内市</v>
          </cell>
          <cell r="E4465" t="str">
            <v>2025→2030</v>
          </cell>
          <cell r="F4465">
            <v>3.252E-2</v>
          </cell>
          <cell r="G4465">
            <v>1.4919999999999999E-2</v>
          </cell>
          <cell r="H4465">
            <v>-3.0030000000000001E-2</v>
          </cell>
          <cell r="I4465">
            <v>-0.22888</v>
          </cell>
          <cell r="J4465">
            <v>0.11198</v>
          </cell>
          <cell r="K4465">
            <v>1.545E-2</v>
          </cell>
          <cell r="L4465">
            <v>-7.7799999999999996E-3</v>
          </cell>
          <cell r="M4465">
            <v>-1.0059999999999999E-2</v>
          </cell>
          <cell r="N4465">
            <v>-9.9100000000000004E-3</v>
          </cell>
          <cell r="O4465">
            <v>-1.2999999999999999E-4</v>
          </cell>
          <cell r="P4465">
            <v>-1.3500000000000001E-3</v>
          </cell>
          <cell r="Q4465">
            <v>-4.4900000000000001E-3</v>
          </cell>
          <cell r="R4465">
            <v>1.286E-2</v>
          </cell>
          <cell r="S4465">
            <v>2.8300000000000001E-3</v>
          </cell>
          <cell r="T4465">
            <v>6.4099999999999999E-3</v>
          </cell>
          <cell r="U4465">
            <v>-2.409E-2</v>
          </cell>
          <cell r="V4465">
            <v>-7.8039999999999998E-2</v>
          </cell>
          <cell r="W4465">
            <v>-8.0700000000000008E-3</v>
          </cell>
          <cell r="Y4465">
            <v>8.8569999999999996E-2</v>
          </cell>
          <cell r="Z4465">
            <v>-1.0580000000000001E-2</v>
          </cell>
          <cell r="AA4465">
            <v>-4.1279999999999997E-2</v>
          </cell>
          <cell r="AB4465">
            <v>-0.30828</v>
          </cell>
          <cell r="AC4465">
            <v>5.645E-2</v>
          </cell>
          <cell r="AD4465">
            <v>-6.5500000000000003E-3</v>
          </cell>
          <cell r="AE4465">
            <v>-1.1000000000000001E-3</v>
          </cell>
          <cell r="AF4465">
            <v>1.5740000000000001E-2</v>
          </cell>
          <cell r="AG4465">
            <v>-7.1999999999999998E-3</v>
          </cell>
          <cell r="AH4465">
            <v>-6.5900000000000004E-3</v>
          </cell>
          <cell r="AI4465">
            <v>3.5799999999999998E-3</v>
          </cell>
          <cell r="AJ4465">
            <v>5.3200000000000001E-3</v>
          </cell>
          <cell r="AK4465">
            <v>3.9199999999999999E-3</v>
          </cell>
          <cell r="AL4465">
            <v>7.7200000000000003E-3</v>
          </cell>
          <cell r="AM4465">
            <v>1.304E-2</v>
          </cell>
          <cell r="AN4465">
            <v>1.0019999999999999E-2</v>
          </cell>
          <cell r="AO4465">
            <v>-2.1229999999999999E-2</v>
          </cell>
          <cell r="AP4465">
            <v>3.2059999999999998E-2</v>
          </cell>
        </row>
        <row r="4466">
          <cell r="D4466" t="str">
            <v>胎内市</v>
          </cell>
          <cell r="E4466" t="str">
            <v>2030→2035</v>
          </cell>
          <cell r="F4466">
            <v>3.2669999999999998E-2</v>
          </cell>
          <cell r="G4466">
            <v>1.5219999999999999E-2</v>
          </cell>
          <cell r="H4466">
            <v>-3.057E-2</v>
          </cell>
          <cell r="I4466">
            <v>-0.22933999999999999</v>
          </cell>
          <cell r="J4466">
            <v>0.11045000000000001</v>
          </cell>
          <cell r="K4466">
            <v>1.0319999999999999E-2</v>
          </cell>
          <cell r="L4466">
            <v>-1.175E-2</v>
          </cell>
          <cell r="M4466">
            <v>-7.6400000000000001E-3</v>
          </cell>
          <cell r="N4466">
            <v>-9.6200000000000001E-3</v>
          </cell>
          <cell r="O4466">
            <v>-8.0000000000000007E-5</v>
          </cell>
          <cell r="P4466">
            <v>-2.0000000000000002E-5</v>
          </cell>
          <cell r="Q4466">
            <v>-4.6800000000000001E-3</v>
          </cell>
          <cell r="R4466">
            <v>1.2869999999999999E-2</v>
          </cell>
          <cell r="S4466">
            <v>2.8300000000000001E-3</v>
          </cell>
          <cell r="T4466">
            <v>8.6199999999999992E-3</v>
          </cell>
          <cell r="U4466">
            <v>-2.8910000000000002E-2</v>
          </cell>
          <cell r="V4466">
            <v>-7.2429999999999994E-2</v>
          </cell>
          <cell r="W4466">
            <v>-1.1209999999999999E-2</v>
          </cell>
          <cell r="Y4466">
            <v>9.3240000000000003E-2</v>
          </cell>
          <cell r="Z4466">
            <v>-1.0359999999999999E-2</v>
          </cell>
          <cell r="AA4466">
            <v>-4.1590000000000002E-2</v>
          </cell>
          <cell r="AB4466">
            <v>-0.3085</v>
          </cell>
          <cell r="AC4466">
            <v>5.3580000000000003E-2</v>
          </cell>
          <cell r="AD4466">
            <v>-1.073E-2</v>
          </cell>
          <cell r="AE4466">
            <v>-5.0299999999999997E-3</v>
          </cell>
          <cell r="AF4466">
            <v>1.8689999999999998E-2</v>
          </cell>
          <cell r="AG4466">
            <v>-6.7499999999999999E-3</v>
          </cell>
          <cell r="AH4466">
            <v>-6.4999999999999997E-3</v>
          </cell>
          <cell r="AI4466">
            <v>4.2900000000000004E-3</v>
          </cell>
          <cell r="AJ4466">
            <v>5.47E-3</v>
          </cell>
          <cell r="AK4466">
            <v>3.6099999999999999E-3</v>
          </cell>
          <cell r="AL4466">
            <v>8.6199999999999992E-3</v>
          </cell>
          <cell r="AM4466">
            <v>1.541E-2</v>
          </cell>
          <cell r="AN4466">
            <v>8.5599999999999999E-3</v>
          </cell>
          <cell r="AO4466">
            <v>-1.585E-2</v>
          </cell>
          <cell r="AP4466">
            <v>2.8629999999999999E-2</v>
          </cell>
        </row>
        <row r="4467">
          <cell r="D4467" t="str">
            <v>胎内市</v>
          </cell>
          <cell r="E4467" t="str">
            <v>2035→2040</v>
          </cell>
          <cell r="F4467">
            <v>3.2559999999999999E-2</v>
          </cell>
          <cell r="G4467">
            <v>1.511E-2</v>
          </cell>
          <cell r="H4467">
            <v>-3.1260000000000003E-2</v>
          </cell>
          <cell r="I4467">
            <v>-0.23002</v>
          </cell>
          <cell r="J4467">
            <v>0.11187</v>
          </cell>
          <cell r="K4467">
            <v>8.2500000000000004E-3</v>
          </cell>
          <cell r="L4467">
            <v>-1.5339999999999999E-2</v>
          </cell>
          <cell r="M4467">
            <v>-9.7800000000000005E-3</v>
          </cell>
          <cell r="N4467">
            <v>-9.6299999999999997E-3</v>
          </cell>
          <cell r="O4467">
            <v>2.9E-4</v>
          </cell>
          <cell r="P4467">
            <v>3.0000000000000001E-5</v>
          </cell>
          <cell r="Q4467">
            <v>-3.98E-3</v>
          </cell>
          <cell r="R4467">
            <v>1.2319999999999999E-2</v>
          </cell>
          <cell r="S4467">
            <v>2.7599999999999999E-3</v>
          </cell>
          <cell r="T4467">
            <v>9.1699999999999993E-3</v>
          </cell>
          <cell r="U4467">
            <v>-2.7519999999999999E-2</v>
          </cell>
          <cell r="V4467">
            <v>-7.9000000000000001E-2</v>
          </cell>
          <cell r="W4467">
            <v>-1.91E-3</v>
          </cell>
          <cell r="Y4467">
            <v>9.2990000000000003E-2</v>
          </cell>
          <cell r="Z4467">
            <v>-1.047E-2</v>
          </cell>
          <cell r="AA4467">
            <v>-4.206E-2</v>
          </cell>
          <cell r="AB4467">
            <v>-0.30873</v>
          </cell>
          <cell r="AC4467">
            <v>5.3929999999999999E-2</v>
          </cell>
          <cell r="AD4467">
            <v>-1.2930000000000001E-2</v>
          </cell>
          <cell r="AE4467">
            <v>-7.9100000000000004E-3</v>
          </cell>
          <cell r="AF4467">
            <v>1.652E-2</v>
          </cell>
          <cell r="AG4467">
            <v>-7.11E-3</v>
          </cell>
          <cell r="AH4467">
            <v>-6.2700000000000004E-3</v>
          </cell>
          <cell r="AI4467">
            <v>4.3899999999999998E-3</v>
          </cell>
          <cell r="AJ4467">
            <v>6.1199999999999996E-3</v>
          </cell>
          <cell r="AK4467">
            <v>3.5599999999999998E-3</v>
          </cell>
          <cell r="AL4467">
            <v>7.9500000000000005E-3</v>
          </cell>
          <cell r="AM4467">
            <v>1.469E-2</v>
          </cell>
          <cell r="AN4467">
            <v>8.7899999999999992E-3</v>
          </cell>
          <cell r="AO4467">
            <v>-2.0500000000000001E-2</v>
          </cell>
          <cell r="AP4467">
            <v>3.8940000000000002E-2</v>
          </cell>
        </row>
        <row r="4468">
          <cell r="D4468" t="str">
            <v>胎内市</v>
          </cell>
          <cell r="E4468" t="str">
            <v>2040→2045</v>
          </cell>
          <cell r="F4468">
            <v>3.2050000000000002E-2</v>
          </cell>
          <cell r="G4468">
            <v>1.4880000000000001E-2</v>
          </cell>
          <cell r="H4468">
            <v>-3.2820000000000002E-2</v>
          </cell>
          <cell r="I4468">
            <v>-0.23100999999999999</v>
          </cell>
          <cell r="J4468">
            <v>0.11212999999999999</v>
          </cell>
          <cell r="K4468">
            <v>8.9200000000000008E-3</v>
          </cell>
          <cell r="L4468">
            <v>-1.6650000000000002E-2</v>
          </cell>
          <cell r="M4468">
            <v>-1.0149999999999999E-2</v>
          </cell>
          <cell r="N4468">
            <v>-1.171E-2</v>
          </cell>
          <cell r="O4468">
            <v>2.4000000000000001E-4</v>
          </cell>
          <cell r="P4468">
            <v>4.8999999999999998E-4</v>
          </cell>
          <cell r="Q4468">
            <v>-3.8400000000000001E-3</v>
          </cell>
          <cell r="R4468">
            <v>1.3339999999999999E-2</v>
          </cell>
          <cell r="S4468">
            <v>2.0699999999999998E-3</v>
          </cell>
          <cell r="T4468">
            <v>8.8999999999999999E-3</v>
          </cell>
          <cell r="U4468">
            <v>-2.7040000000000002E-2</v>
          </cell>
          <cell r="V4468">
            <v>-7.6840000000000006E-2</v>
          </cell>
          <cell r="W4468">
            <v>-2.2839999999999999E-2</v>
          </cell>
          <cell r="Y4468">
            <v>9.2119999999999994E-2</v>
          </cell>
          <cell r="Z4468">
            <v>-1.0670000000000001E-2</v>
          </cell>
          <cell r="AA4468">
            <v>-4.2979999999999997E-2</v>
          </cell>
          <cell r="AB4468">
            <v>-0.30909999999999999</v>
          </cell>
          <cell r="AC4468">
            <v>5.4010000000000002E-2</v>
          </cell>
          <cell r="AD4468">
            <v>-1.206E-2</v>
          </cell>
          <cell r="AE4468">
            <v>-9.2200000000000008E-3</v>
          </cell>
          <cell r="AF4468">
            <v>1.5010000000000001E-2</v>
          </cell>
          <cell r="AG4468">
            <v>-8.3400000000000002E-3</v>
          </cell>
          <cell r="AH4468">
            <v>-6.3E-3</v>
          </cell>
          <cell r="AI4468">
            <v>4.81E-3</v>
          </cell>
          <cell r="AJ4468">
            <v>6.3099999999999996E-3</v>
          </cell>
          <cell r="AK4468">
            <v>4.2100000000000002E-3</v>
          </cell>
          <cell r="AL4468">
            <v>7.79E-3</v>
          </cell>
          <cell r="AM4468">
            <v>1.3939999999999999E-2</v>
          </cell>
          <cell r="AN4468">
            <v>7.8799999999999999E-3</v>
          </cell>
          <cell r="AO4468">
            <v>-1.917E-2</v>
          </cell>
          <cell r="AP4468">
            <v>1.7590000000000001E-2</v>
          </cell>
        </row>
        <row r="4469">
          <cell r="D4469" t="str">
            <v>聖籠町</v>
          </cell>
          <cell r="E4469" t="str">
            <v>2015→2020</v>
          </cell>
          <cell r="F4469">
            <v>1.9230000000000001E-2</v>
          </cell>
          <cell r="G4469">
            <v>3.8899999999999998E-3</v>
          </cell>
          <cell r="H4469">
            <v>0.33992</v>
          </cell>
          <cell r="I4469">
            <v>-0.20757</v>
          </cell>
          <cell r="J4469">
            <v>-9.1319999999999998E-2</v>
          </cell>
          <cell r="K4469">
            <v>0.14551</v>
          </cell>
          <cell r="L4469">
            <v>7.8560000000000005E-2</v>
          </cell>
          <cell r="M4469">
            <v>-3.9989999999999998E-2</v>
          </cell>
          <cell r="N4469">
            <v>3.7799999999999999E-3</v>
          </cell>
          <cell r="O4469">
            <v>-1.316E-2</v>
          </cell>
          <cell r="P4469">
            <v>1.933E-2</v>
          </cell>
          <cell r="Q4469">
            <v>1.2370000000000001E-2</v>
          </cell>
          <cell r="R4469">
            <v>1.2160000000000001E-2</v>
          </cell>
          <cell r="S4469">
            <v>-4.0299999999999997E-3</v>
          </cell>
          <cell r="T4469">
            <v>-6.0150000000000002E-2</v>
          </cell>
          <cell r="U4469">
            <v>-2.2159999999999999E-2</v>
          </cell>
          <cell r="V4469">
            <v>2.2799999999999999E-3</v>
          </cell>
          <cell r="W4469">
            <v>-3.243E-2</v>
          </cell>
          <cell r="Y4469">
            <v>-2.1760000000000002E-2</v>
          </cell>
          <cell r="Z4469">
            <v>6.2100000000000002E-3</v>
          </cell>
          <cell r="AA4469">
            <v>5.11E-3</v>
          </cell>
          <cell r="AB4469">
            <v>-0.21490000000000001</v>
          </cell>
          <cell r="AC4469">
            <v>0.11522</v>
          </cell>
          <cell r="AD4469">
            <v>0.16477</v>
          </cell>
          <cell r="AE4469">
            <v>4.1279999999999997E-2</v>
          </cell>
          <cell r="AF4469">
            <v>-4.4220000000000002E-2</v>
          </cell>
          <cell r="AG4469">
            <v>-2.4410000000000001E-2</v>
          </cell>
          <cell r="AH4469">
            <v>-7.4400000000000004E-3</v>
          </cell>
          <cell r="AI4469">
            <v>1.1520000000000001E-2</v>
          </cell>
          <cell r="AJ4469">
            <v>1.5939999999999999E-2</v>
          </cell>
          <cell r="AK4469">
            <v>3.2809999999999999E-2</v>
          </cell>
          <cell r="AL4469">
            <v>-1.9740000000000001E-2</v>
          </cell>
          <cell r="AM4469">
            <v>9.7199999999999995E-3</v>
          </cell>
          <cell r="AN4469">
            <v>2.2630000000000001E-2</v>
          </cell>
          <cell r="AO4469">
            <v>3.8530000000000002E-2</v>
          </cell>
          <cell r="AP4469">
            <v>4.9360000000000001E-2</v>
          </cell>
        </row>
        <row r="4470">
          <cell r="D4470" t="str">
            <v>聖籠町</v>
          </cell>
          <cell r="E4470" t="str">
            <v>2020→2025</v>
          </cell>
          <cell r="F4470">
            <v>2.5020000000000001E-2</v>
          </cell>
          <cell r="G4470">
            <v>-1.8000000000000001E-4</v>
          </cell>
          <cell r="H4470">
            <v>0.32633000000000001</v>
          </cell>
          <cell r="I4470">
            <v>-0.20685000000000001</v>
          </cell>
          <cell r="J4470">
            <v>-0.10927000000000001</v>
          </cell>
          <cell r="K4470">
            <v>0.14634</v>
          </cell>
          <cell r="L4470">
            <v>7.671E-2</v>
          </cell>
          <cell r="M4470">
            <v>-4.7169999999999997E-2</v>
          </cell>
          <cell r="N4470">
            <v>7.11E-3</v>
          </cell>
          <cell r="O4470">
            <v>-9.5899999999999996E-3</v>
          </cell>
          <cell r="P4470">
            <v>1.9470000000000001E-2</v>
          </cell>
          <cell r="Q4470">
            <v>1.2529999999999999E-2</v>
          </cell>
          <cell r="R4470">
            <v>1.23E-2</v>
          </cell>
          <cell r="S4470">
            <v>-6.7400000000000003E-3</v>
          </cell>
          <cell r="T4470">
            <v>-5.7829999999999999E-2</v>
          </cell>
          <cell r="U4470">
            <v>-2.3789999999999999E-2</v>
          </cell>
          <cell r="V4470">
            <v>2.0000000000000002E-5</v>
          </cell>
          <cell r="W4470">
            <v>-3.805E-2</v>
          </cell>
          <cell r="Y4470">
            <v>-2.862E-2</v>
          </cell>
          <cell r="Z4470">
            <v>3.2299999999999998E-3</v>
          </cell>
          <cell r="AA4470">
            <v>4.0699999999999998E-3</v>
          </cell>
          <cell r="AB4470">
            <v>-0.21723999999999999</v>
          </cell>
          <cell r="AC4470">
            <v>0.10753</v>
          </cell>
          <cell r="AD4470">
            <v>0.17025000000000001</v>
          </cell>
          <cell r="AE4470">
            <v>2.5219999999999999E-2</v>
          </cell>
          <cell r="AF4470">
            <v>-4.9149999999999999E-2</v>
          </cell>
          <cell r="AG4470">
            <v>-2.4279999999999999E-2</v>
          </cell>
          <cell r="AH4470">
            <v>-7.1700000000000002E-3</v>
          </cell>
          <cell r="AI4470">
            <v>1.132E-2</v>
          </cell>
          <cell r="AJ4470">
            <v>1.729E-2</v>
          </cell>
          <cell r="AK4470">
            <v>3.0519999999999999E-2</v>
          </cell>
          <cell r="AL4470">
            <v>-2.0559999999999998E-2</v>
          </cell>
          <cell r="AM4470">
            <v>1.1050000000000001E-2</v>
          </cell>
          <cell r="AN4470">
            <v>1.9189999999999999E-2</v>
          </cell>
          <cell r="AO4470">
            <v>3.6310000000000002E-2</v>
          </cell>
          <cell r="AP4470">
            <v>5.1670000000000001E-2</v>
          </cell>
        </row>
        <row r="4471">
          <cell r="D4471" t="str">
            <v>聖籠町</v>
          </cell>
          <cell r="E4471" t="str">
            <v>2025→2030</v>
          </cell>
          <cell r="F4471">
            <v>2.0549999999999999E-2</v>
          </cell>
          <cell r="G4471">
            <v>6.3000000000000003E-4</v>
          </cell>
          <cell r="H4471">
            <v>0.27244000000000002</v>
          </cell>
          <cell r="I4471">
            <v>-0.20982999999999999</v>
          </cell>
          <cell r="J4471">
            <v>-0.10746</v>
          </cell>
          <cell r="K4471">
            <v>0.11629</v>
          </cell>
          <cell r="L4471">
            <v>7.5219999999999995E-2</v>
          </cell>
          <cell r="M4471">
            <v>-4.8090000000000001E-2</v>
          </cell>
          <cell r="N4471">
            <v>3.8000000000000002E-4</v>
          </cell>
          <cell r="O4471">
            <v>-1.1310000000000001E-2</v>
          </cell>
          <cell r="P4471">
            <v>1.942E-2</v>
          </cell>
          <cell r="Q4471">
            <v>1.2970000000000001E-2</v>
          </cell>
          <cell r="R4471">
            <v>1.4749999999999999E-2</v>
          </cell>
          <cell r="S4471">
            <v>-6.4700000000000001E-3</v>
          </cell>
          <cell r="T4471">
            <v>-6.055E-2</v>
          </cell>
          <cell r="U4471">
            <v>-1.9349999999999999E-2</v>
          </cell>
          <cell r="V4471">
            <v>-4.0899999999999999E-3</v>
          </cell>
          <cell r="W4471">
            <v>-4.487E-2</v>
          </cell>
          <cell r="Y4471">
            <v>-3.1649999999999998E-2</v>
          </cell>
          <cell r="Z4471">
            <v>3.8999999999999999E-4</v>
          </cell>
          <cell r="AA4471">
            <v>-4.8000000000000001E-4</v>
          </cell>
          <cell r="AB4471">
            <v>-0.21848999999999999</v>
          </cell>
          <cell r="AC4471">
            <v>0.10187</v>
          </cell>
          <cell r="AD4471">
            <v>0.17183000000000001</v>
          </cell>
          <cell r="AE4471">
            <v>2.5569999999999999E-2</v>
          </cell>
          <cell r="AF4471">
            <v>-5.1959999999999999E-2</v>
          </cell>
          <cell r="AG4471">
            <v>-2.7109999999999999E-2</v>
          </cell>
          <cell r="AH4471">
            <v>-7.3299999999999997E-3</v>
          </cell>
          <cell r="AI4471">
            <v>1.1769999999999999E-2</v>
          </cell>
          <cell r="AJ4471">
            <v>1.7319999999999999E-2</v>
          </cell>
          <cell r="AK4471">
            <v>3.8460000000000001E-2</v>
          </cell>
          <cell r="AL4471">
            <v>-2.034E-2</v>
          </cell>
          <cell r="AM4471">
            <v>8.4399999999999996E-3</v>
          </cell>
          <cell r="AN4471">
            <v>2.529E-2</v>
          </cell>
          <cell r="AO4471">
            <v>3.1640000000000001E-2</v>
          </cell>
          <cell r="AP4471">
            <v>4.3090000000000003E-2</v>
          </cell>
        </row>
        <row r="4472">
          <cell r="D4472" t="str">
            <v>聖籠町</v>
          </cell>
          <cell r="E4472" t="str">
            <v>2030→2035</v>
          </cell>
          <cell r="F4472">
            <v>1.566E-2</v>
          </cell>
          <cell r="G4472">
            <v>-2.7E-4</v>
          </cell>
          <cell r="H4472">
            <v>0.27683999999999997</v>
          </cell>
          <cell r="I4472">
            <v>-0.22234999999999999</v>
          </cell>
          <cell r="J4472">
            <v>-0.10821</v>
          </cell>
          <cell r="K4472">
            <v>0.11799</v>
          </cell>
          <cell r="L4472">
            <v>6.1769999999999999E-2</v>
          </cell>
          <cell r="M4472">
            <v>-4.8559999999999999E-2</v>
          </cell>
          <cell r="N4472">
            <v>-5.1000000000000004E-4</v>
          </cell>
          <cell r="O4472">
            <v>-1.5820000000000001E-2</v>
          </cell>
          <cell r="P4472">
            <v>2.2200000000000001E-2</v>
          </cell>
          <cell r="Q4472">
            <v>1.2630000000000001E-2</v>
          </cell>
          <cell r="R4472">
            <v>1.3820000000000001E-2</v>
          </cell>
          <cell r="S4472">
            <v>-5.8799999999999998E-3</v>
          </cell>
          <cell r="T4472">
            <v>-5.9819999999999998E-2</v>
          </cell>
          <cell r="U4472">
            <v>-2.4539999999999999E-2</v>
          </cell>
          <cell r="V4472">
            <v>5.1000000000000004E-3</v>
          </cell>
          <cell r="W4472">
            <v>-4.7489999999999997E-2</v>
          </cell>
          <cell r="Y4472">
            <v>-3.4970000000000001E-2</v>
          </cell>
          <cell r="Z4472">
            <v>-8.4000000000000003E-4</v>
          </cell>
          <cell r="AA4472">
            <v>-9.0399999999999994E-3</v>
          </cell>
          <cell r="AB4472">
            <v>-0.22070000000000001</v>
          </cell>
          <cell r="AC4472">
            <v>0.10197000000000001</v>
          </cell>
          <cell r="AD4472">
            <v>0.21656</v>
          </cell>
          <cell r="AE4472">
            <v>2.5610000000000001E-2</v>
          </cell>
          <cell r="AF4472">
            <v>-5.2069999999999998E-2</v>
          </cell>
          <cell r="AG4472">
            <v>-2.8709999999999999E-2</v>
          </cell>
          <cell r="AH4472">
            <v>-1.115E-2</v>
          </cell>
          <cell r="AI4472">
            <v>1.3220000000000001E-2</v>
          </cell>
          <cell r="AJ4472">
            <v>1.763E-2</v>
          </cell>
          <cell r="AK4472">
            <v>3.7510000000000002E-2</v>
          </cell>
          <cell r="AL4472">
            <v>-2.019E-2</v>
          </cell>
          <cell r="AM4472">
            <v>8.0499999999999999E-3</v>
          </cell>
          <cell r="AN4472">
            <v>2.1510000000000001E-2</v>
          </cell>
          <cell r="AO4472">
            <v>4.0349999999999997E-2</v>
          </cell>
          <cell r="AP4472">
            <v>3.9219999999999998E-2</v>
          </cell>
        </row>
        <row r="4473">
          <cell r="D4473" t="str">
            <v>聖籠町</v>
          </cell>
          <cell r="E4473" t="str">
            <v>2035→2040</v>
          </cell>
          <cell r="F4473">
            <v>1.273E-2</v>
          </cell>
          <cell r="G4473">
            <v>-1.2700000000000001E-3</v>
          </cell>
          <cell r="H4473">
            <v>0.26240000000000002</v>
          </cell>
          <cell r="I4473">
            <v>-0.22155</v>
          </cell>
          <cell r="J4473">
            <v>-0.12034</v>
          </cell>
          <cell r="K4473">
            <v>0.11554</v>
          </cell>
          <cell r="L4473">
            <v>6.198E-2</v>
          </cell>
          <cell r="M4473">
            <v>-5.1459999999999999E-2</v>
          </cell>
          <cell r="N4473">
            <v>-1E-3</v>
          </cell>
          <cell r="O4473">
            <v>-1.6369999999999999E-2</v>
          </cell>
          <cell r="P4473">
            <v>1.6289999999999999E-2</v>
          </cell>
          <cell r="Q4473">
            <v>1.427E-2</v>
          </cell>
          <cell r="R4473">
            <v>1.7989999999999999E-2</v>
          </cell>
          <cell r="S4473">
            <v>-6.2300000000000003E-3</v>
          </cell>
          <cell r="T4473">
            <v>-5.944E-2</v>
          </cell>
          <cell r="U4473">
            <v>-2.3029999999999998E-2</v>
          </cell>
          <cell r="V4473">
            <v>1.2999999999999999E-4</v>
          </cell>
          <cell r="W4473">
            <v>-3.918E-2</v>
          </cell>
          <cell r="Y4473">
            <v>-3.6990000000000002E-2</v>
          </cell>
          <cell r="Z4473">
            <v>-2.2000000000000001E-3</v>
          </cell>
          <cell r="AA4473">
            <v>-1.393E-2</v>
          </cell>
          <cell r="AB4473">
            <v>-0.22778000000000001</v>
          </cell>
          <cell r="AC4473">
            <v>0.10281999999999999</v>
          </cell>
          <cell r="AD4473">
            <v>0.19339000000000001</v>
          </cell>
          <cell r="AE4473">
            <v>3.9510000000000003E-2</v>
          </cell>
          <cell r="AF4473">
            <v>-5.2200000000000003E-2</v>
          </cell>
          <cell r="AG4473">
            <v>-2.8819999999999998E-2</v>
          </cell>
          <cell r="AH4473">
            <v>-1.3220000000000001E-2</v>
          </cell>
          <cell r="AI4473">
            <v>1.337E-2</v>
          </cell>
          <cell r="AJ4473">
            <v>1.881E-2</v>
          </cell>
          <cell r="AK4473">
            <v>3.7900000000000003E-2</v>
          </cell>
          <cell r="AL4473">
            <v>-2.0080000000000001E-2</v>
          </cell>
          <cell r="AM4473">
            <v>1.0359999999999999E-2</v>
          </cell>
          <cell r="AN4473">
            <v>1.8880000000000001E-2</v>
          </cell>
          <cell r="AO4473">
            <v>3.8580000000000003E-2</v>
          </cell>
          <cell r="AP4473">
            <v>5.0529999999999999E-2</v>
          </cell>
        </row>
        <row r="4474">
          <cell r="D4474" t="str">
            <v>聖籠町</v>
          </cell>
          <cell r="E4474" t="str">
            <v>2040→2045</v>
          </cell>
          <cell r="F4474">
            <v>1.1379999999999999E-2</v>
          </cell>
          <cell r="G4474">
            <v>-1.92E-3</v>
          </cell>
          <cell r="H4474">
            <v>0.24682000000000001</v>
          </cell>
          <cell r="I4474">
            <v>-0.22539000000000001</v>
          </cell>
          <cell r="J4474">
            <v>-0.11824999999999999</v>
          </cell>
          <cell r="K4474">
            <v>9.6869999999999998E-2</v>
          </cell>
          <cell r="L4474">
            <v>6.087E-2</v>
          </cell>
          <cell r="M4474">
            <v>-5.1479999999999998E-2</v>
          </cell>
          <cell r="N4474">
            <v>-3.65E-3</v>
          </cell>
          <cell r="O4474">
            <v>-1.66E-2</v>
          </cell>
          <cell r="P4474">
            <v>1.529E-2</v>
          </cell>
          <cell r="Q4474">
            <v>1.11E-2</v>
          </cell>
          <cell r="R4474">
            <v>1.4409999999999999E-2</v>
          </cell>
          <cell r="S4474">
            <v>-4.1099999999999999E-3</v>
          </cell>
          <cell r="T4474">
            <v>-5.9089999999999997E-2</v>
          </cell>
          <cell r="U4474">
            <v>-2.2270000000000002E-2</v>
          </cell>
          <cell r="V4474">
            <v>1.6100000000000001E-3</v>
          </cell>
          <cell r="W4474">
            <v>-5.8680000000000003E-2</v>
          </cell>
          <cell r="Y4474">
            <v>-3.7949999999999998E-2</v>
          </cell>
          <cell r="Z4474">
            <v>-3.0799999999999998E-3</v>
          </cell>
          <cell r="AA4474">
            <v>-1.9210000000000001E-2</v>
          </cell>
          <cell r="AB4474">
            <v>-0.2321</v>
          </cell>
          <cell r="AC4474">
            <v>9.4030000000000002E-2</v>
          </cell>
          <cell r="AD4474">
            <v>0.16441</v>
          </cell>
          <cell r="AE4474">
            <v>3.1609999999999999E-2</v>
          </cell>
          <cell r="AF4474">
            <v>-5.0110000000000002E-2</v>
          </cell>
          <cell r="AG4474">
            <v>-2.8889999999999999E-2</v>
          </cell>
          <cell r="AH4474">
            <v>-1.32E-2</v>
          </cell>
          <cell r="AI4474">
            <v>1.1010000000000001E-2</v>
          </cell>
          <cell r="AJ4474">
            <v>1.848E-2</v>
          </cell>
          <cell r="AK4474">
            <v>3.8780000000000002E-2</v>
          </cell>
          <cell r="AL4474">
            <v>-2.0379999999999999E-2</v>
          </cell>
          <cell r="AM4474">
            <v>1.031E-2</v>
          </cell>
          <cell r="AN4474">
            <v>2.2550000000000001E-2</v>
          </cell>
          <cell r="AO4474">
            <v>3.8199999999999998E-2</v>
          </cell>
          <cell r="AP4474">
            <v>2.947E-2</v>
          </cell>
        </row>
        <row r="4475">
          <cell r="D4475" t="str">
            <v>弥彦村</v>
          </cell>
          <cell r="E4475" t="str">
            <v>2015→2020</v>
          </cell>
          <cell r="F4475">
            <v>7.6369999999999993E-2</v>
          </cell>
          <cell r="G4475">
            <v>6.79E-3</v>
          </cell>
          <cell r="H4475">
            <v>-8.2720000000000002E-2</v>
          </cell>
          <cell r="I4475">
            <v>-0.26926</v>
          </cell>
          <cell r="J4475">
            <v>-9.0870000000000006E-2</v>
          </cell>
          <cell r="K4475">
            <v>-2.4889999999999999E-2</v>
          </cell>
          <cell r="L4475">
            <v>1.523E-2</v>
          </cell>
          <cell r="M4475">
            <v>1.4E-3</v>
          </cell>
          <cell r="N4475">
            <v>2.3290000000000002E-2</v>
          </cell>
          <cell r="O4475">
            <v>-1.059E-2</v>
          </cell>
          <cell r="P4475">
            <v>2.5999999999999999E-2</v>
          </cell>
          <cell r="Q4475">
            <v>-3.4299999999999999E-3</v>
          </cell>
          <cell r="R4475">
            <v>1.5299999999999999E-2</v>
          </cell>
          <cell r="S4475">
            <v>-3.2329999999999998E-2</v>
          </cell>
          <cell r="T4475">
            <v>-1.1169999999999999E-2</v>
          </cell>
          <cell r="U4475">
            <v>-3.7819999999999999E-2</v>
          </cell>
          <cell r="V4475">
            <v>-6.9529999999999995E-2</v>
          </cell>
          <cell r="W4475">
            <v>-8.3460000000000006E-2</v>
          </cell>
          <cell r="Y4475">
            <v>1.461E-2</v>
          </cell>
          <cell r="Z4475">
            <v>-1.2749999999999999E-2</v>
          </cell>
          <cell r="AA4475">
            <v>-0.1321</v>
          </cell>
          <cell r="AB4475">
            <v>-0.25009999999999999</v>
          </cell>
          <cell r="AC4475">
            <v>-1.265E-2</v>
          </cell>
          <cell r="AD4475">
            <v>9.0100000000000006E-3</v>
          </cell>
          <cell r="AE4475">
            <v>-5.1000000000000004E-4</v>
          </cell>
          <cell r="AF4475">
            <v>1.7520000000000001E-2</v>
          </cell>
          <cell r="AG4475">
            <v>-2.6079999999999999E-2</v>
          </cell>
          <cell r="AH4475">
            <v>1.866E-2</v>
          </cell>
          <cell r="AI4475">
            <v>-9.41E-3</v>
          </cell>
          <cell r="AJ4475">
            <v>-3.0620000000000001E-2</v>
          </cell>
          <cell r="AK4475">
            <v>-2.3019999999999999E-2</v>
          </cell>
          <cell r="AL4475">
            <v>-2.0490000000000001E-2</v>
          </cell>
          <cell r="AM4475">
            <v>-1.3820000000000001E-2</v>
          </cell>
          <cell r="AN4475">
            <v>-4.5030000000000001E-2</v>
          </cell>
          <cell r="AO4475">
            <v>-3.8300000000000001E-2</v>
          </cell>
          <cell r="AP4475">
            <v>4.81E-3</v>
          </cell>
        </row>
        <row r="4476">
          <cell r="D4476" t="str">
            <v>弥彦村</v>
          </cell>
          <cell r="E4476" t="str">
            <v>2020→2025</v>
          </cell>
          <cell r="F4476">
            <v>7.9509999999999997E-2</v>
          </cell>
          <cell r="G4476">
            <v>-1.2500000000000001E-2</v>
          </cell>
          <cell r="H4476">
            <v>-8.3040000000000003E-2</v>
          </cell>
          <cell r="I4476">
            <v>-0.24357999999999999</v>
          </cell>
          <cell r="J4476">
            <v>2.0600000000000002E-3</v>
          </cell>
          <cell r="K4476">
            <v>7.7600000000000004E-3</v>
          </cell>
          <cell r="L4476">
            <v>-4.4799999999999996E-3</v>
          </cell>
          <cell r="M4476">
            <v>1.9970000000000002E-2</v>
          </cell>
          <cell r="N4476">
            <v>1.0070000000000001E-2</v>
          </cell>
          <cell r="O4476">
            <v>-9.7999999999999997E-3</v>
          </cell>
          <cell r="P4476">
            <v>1.4579999999999999E-2</v>
          </cell>
          <cell r="Q4476">
            <v>2.214E-2</v>
          </cell>
          <cell r="R4476">
            <v>1.274E-2</v>
          </cell>
          <cell r="S4476">
            <v>3.1099999999999999E-3</v>
          </cell>
          <cell r="T4476">
            <v>-1.1100000000000001E-3</v>
          </cell>
          <cell r="U4476">
            <v>-2.6720000000000001E-2</v>
          </cell>
          <cell r="V4476">
            <v>-4.9349999999999998E-2</v>
          </cell>
          <cell r="W4476">
            <v>-3.3689999999999998E-2</v>
          </cell>
          <cell r="Y4476">
            <v>9.6790000000000001E-2</v>
          </cell>
          <cell r="Z4476">
            <v>1.559E-2</v>
          </cell>
          <cell r="AA4476">
            <v>-9.9220000000000003E-2</v>
          </cell>
          <cell r="AB4476">
            <v>-0.23393</v>
          </cell>
          <cell r="AC4476">
            <v>-6.3600000000000002E-3</v>
          </cell>
          <cell r="AD4476">
            <v>0.14485000000000001</v>
          </cell>
          <cell r="AE4476">
            <v>2.6009999999999998E-2</v>
          </cell>
          <cell r="AF4476">
            <v>2.5389999999999999E-2</v>
          </cell>
          <cell r="AG4476">
            <v>-8.2400000000000008E-3</v>
          </cell>
          <cell r="AH4476">
            <v>2.3800000000000002E-2</v>
          </cell>
          <cell r="AI4476">
            <v>6.3899999999999998E-3</v>
          </cell>
          <cell r="AJ4476">
            <v>-4.0299999999999997E-3</v>
          </cell>
          <cell r="AK4476">
            <v>9.4500000000000001E-3</v>
          </cell>
          <cell r="AL4476">
            <v>-1.61E-2</v>
          </cell>
          <cell r="AM4476">
            <v>-8.4200000000000004E-3</v>
          </cell>
          <cell r="AN4476">
            <v>-2.572E-2</v>
          </cell>
          <cell r="AO4476">
            <v>-2.1749999999999999E-2</v>
          </cell>
          <cell r="AP4476">
            <v>2.5780000000000001E-2</v>
          </cell>
        </row>
        <row r="4477">
          <cell r="D4477" t="str">
            <v>弥彦村</v>
          </cell>
          <cell r="E4477" t="str">
            <v>2025→2030</v>
          </cell>
          <cell r="F4477">
            <v>8.1540000000000001E-2</v>
          </cell>
          <cell r="G4477">
            <v>-1.2359999999999999E-2</v>
          </cell>
          <cell r="H4477">
            <v>-8.1049999999999997E-2</v>
          </cell>
          <cell r="I4477">
            <v>-0.24363000000000001</v>
          </cell>
          <cell r="J4477">
            <v>-2.2100000000000002E-3</v>
          </cell>
          <cell r="K4477">
            <v>4.6600000000000001E-3</v>
          </cell>
          <cell r="L4477">
            <v>-3.9300000000000003E-3</v>
          </cell>
          <cell r="M4477">
            <v>2.1149999999999999E-2</v>
          </cell>
          <cell r="N4477">
            <v>1.3129999999999999E-2</v>
          </cell>
          <cell r="O4477">
            <v>-1.0200000000000001E-2</v>
          </cell>
          <cell r="P4477">
            <v>1.473E-2</v>
          </cell>
          <cell r="Q4477">
            <v>2.3199999999999998E-2</v>
          </cell>
          <cell r="R4477">
            <v>1.2500000000000001E-2</v>
          </cell>
          <cell r="S4477">
            <v>8.5400000000000007E-3</v>
          </cell>
          <cell r="T4477">
            <v>-5.2700000000000004E-3</v>
          </cell>
          <cell r="U4477">
            <v>-2.307E-2</v>
          </cell>
          <cell r="V4477">
            <v>-5.3609999999999998E-2</v>
          </cell>
          <cell r="W4477">
            <v>-3.9759999999999997E-2</v>
          </cell>
          <cell r="Y4477">
            <v>9.9290000000000003E-2</v>
          </cell>
          <cell r="Z4477">
            <v>1.585E-2</v>
          </cell>
          <cell r="AA4477">
            <v>-9.9220000000000003E-2</v>
          </cell>
          <cell r="AB4477">
            <v>-0.23141</v>
          </cell>
          <cell r="AC4477">
            <v>-2.1829999999999999E-2</v>
          </cell>
          <cell r="AD4477">
            <v>0.13544999999999999</v>
          </cell>
          <cell r="AE4477">
            <v>2.7470000000000001E-2</v>
          </cell>
          <cell r="AF4477">
            <v>2.7050000000000001E-2</v>
          </cell>
          <cell r="AG4477">
            <v>-1.5200000000000001E-3</v>
          </cell>
          <cell r="AH4477">
            <v>2.3689999999999999E-2</v>
          </cell>
          <cell r="AI4477">
            <v>6.8799999999999998E-3</v>
          </cell>
          <cell r="AJ4477">
            <v>-3.7100000000000002E-3</v>
          </cell>
          <cell r="AK4477">
            <v>8.7399999999999995E-3</v>
          </cell>
          <cell r="AL4477">
            <v>-1.542E-2</v>
          </cell>
          <cell r="AM4477">
            <v>-1.112E-2</v>
          </cell>
          <cell r="AN4477">
            <v>-2.086E-2</v>
          </cell>
          <cell r="AO4477">
            <v>-2.4930000000000001E-2</v>
          </cell>
          <cell r="AP4477">
            <v>1.6469999999999999E-2</v>
          </cell>
        </row>
        <row r="4478">
          <cell r="D4478" t="str">
            <v>弥彦村</v>
          </cell>
          <cell r="E4478" t="str">
            <v>2030→2035</v>
          </cell>
          <cell r="F4478">
            <v>8.2309999999999994E-2</v>
          </cell>
          <cell r="G4478">
            <v>-1.1769999999999999E-2</v>
          </cell>
          <cell r="H4478">
            <v>-8.1089999999999995E-2</v>
          </cell>
          <cell r="I4478">
            <v>-0.24364</v>
          </cell>
          <cell r="J4478">
            <v>-1.0499999999999999E-3</v>
          </cell>
          <cell r="K4478">
            <v>2.1000000000000001E-4</v>
          </cell>
          <cell r="L4478">
            <v>-6.0600000000000003E-3</v>
          </cell>
          <cell r="M4478">
            <v>2.1299999999999999E-2</v>
          </cell>
          <cell r="N4478">
            <v>1.3769999999999999E-2</v>
          </cell>
          <cell r="O4478">
            <v>-8.5599999999999999E-3</v>
          </cell>
          <cell r="P4478">
            <v>1.668E-2</v>
          </cell>
          <cell r="Q4478">
            <v>2.3E-2</v>
          </cell>
          <cell r="R4478">
            <v>1.324E-2</v>
          </cell>
          <cell r="S4478">
            <v>9.2700000000000005E-3</v>
          </cell>
          <cell r="T4478">
            <v>-1.73E-3</v>
          </cell>
          <cell r="U4478">
            <v>-2.9440000000000001E-2</v>
          </cell>
          <cell r="V4478">
            <v>-4.5469999999999997E-2</v>
          </cell>
          <cell r="W4478">
            <v>-4.317E-2</v>
          </cell>
          <cell r="Y4478">
            <v>0.10020999999999999</v>
          </cell>
          <cell r="Z4478">
            <v>1.6279999999999999E-2</v>
          </cell>
          <cell r="AA4478">
            <v>-9.9299999999999999E-2</v>
          </cell>
          <cell r="AB4478">
            <v>-0.23153000000000001</v>
          </cell>
          <cell r="AC4478">
            <v>-8.5699999999999995E-3</v>
          </cell>
          <cell r="AD4478">
            <v>0.12809000000000001</v>
          </cell>
          <cell r="AE4478">
            <v>2.3609999999999999E-2</v>
          </cell>
          <cell r="AF4478">
            <v>2.7400000000000001E-2</v>
          </cell>
          <cell r="AG4478">
            <v>-8.5999999999999998E-4</v>
          </cell>
          <cell r="AH4478">
            <v>2.6460000000000001E-2</v>
          </cell>
          <cell r="AI4478">
            <v>7.7299999999999999E-3</v>
          </cell>
          <cell r="AJ4478">
            <v>-3.32E-3</v>
          </cell>
          <cell r="AK4478">
            <v>8.6999999999999994E-3</v>
          </cell>
          <cell r="AL4478">
            <v>-1.519E-2</v>
          </cell>
          <cell r="AM4478">
            <v>-9.2200000000000008E-3</v>
          </cell>
          <cell r="AN4478">
            <v>-2.4920000000000001E-2</v>
          </cell>
          <cell r="AO4478">
            <v>-1.7829999999999999E-2</v>
          </cell>
          <cell r="AP4478">
            <v>1.3169999999999999E-2</v>
          </cell>
        </row>
        <row r="4479">
          <cell r="D4479" t="str">
            <v>弥彦村</v>
          </cell>
          <cell r="E4479" t="str">
            <v>2035→2040</v>
          </cell>
          <cell r="F4479">
            <v>8.2809999999999995E-2</v>
          </cell>
          <cell r="G4479">
            <v>-1.175E-2</v>
          </cell>
          <cell r="H4479">
            <v>-8.0759999999999998E-2</v>
          </cell>
          <cell r="I4479">
            <v>-0.24365999999999999</v>
          </cell>
          <cell r="J4479">
            <v>2.1000000000000001E-4</v>
          </cell>
          <cell r="K4479">
            <v>9.0000000000000006E-5</v>
          </cell>
          <cell r="L4479">
            <v>-8.9499999999999996E-3</v>
          </cell>
          <cell r="M4479">
            <v>1.9199999999999998E-2</v>
          </cell>
          <cell r="N4479">
            <v>1.3769999999999999E-2</v>
          </cell>
          <cell r="O4479">
            <v>-8.1899999999999994E-3</v>
          </cell>
          <cell r="P4479">
            <v>1.653E-2</v>
          </cell>
          <cell r="Q4479">
            <v>2.4889999999999999E-2</v>
          </cell>
          <cell r="R4479">
            <v>1.281E-2</v>
          </cell>
          <cell r="S4479">
            <v>9.1999999999999998E-3</v>
          </cell>
          <cell r="T4479">
            <v>-1.91E-3</v>
          </cell>
          <cell r="U4479">
            <v>-2.572E-2</v>
          </cell>
          <cell r="V4479">
            <v>-5.0259999999999999E-2</v>
          </cell>
          <cell r="W4479">
            <v>-3.3959999999999997E-2</v>
          </cell>
          <cell r="Y4479">
            <v>0.10076</v>
          </cell>
          <cell r="Z4479">
            <v>1.6310000000000002E-2</v>
          </cell>
          <cell r="AA4479">
            <v>-9.9400000000000002E-2</v>
          </cell>
          <cell r="AB4479">
            <v>-0.23180000000000001</v>
          </cell>
          <cell r="AC4479">
            <v>-7.8499999999999993E-3</v>
          </cell>
          <cell r="AD4479">
            <v>0.13023000000000001</v>
          </cell>
          <cell r="AE4479">
            <v>2.036E-2</v>
          </cell>
          <cell r="AF4479">
            <v>2.4830000000000001E-2</v>
          </cell>
          <cell r="AG4479">
            <v>-1.17E-3</v>
          </cell>
          <cell r="AH4479">
            <v>2.7099999999999999E-2</v>
          </cell>
          <cell r="AI4479">
            <v>7.7200000000000003E-3</v>
          </cell>
          <cell r="AJ4479">
            <v>-2.5500000000000002E-3</v>
          </cell>
          <cell r="AK4479">
            <v>9.1199999999999996E-3</v>
          </cell>
          <cell r="AL4479">
            <v>-1.504E-2</v>
          </cell>
          <cell r="AM4479">
            <v>-9.6600000000000002E-3</v>
          </cell>
          <cell r="AN4479">
            <v>-2.283E-2</v>
          </cell>
          <cell r="AO4479">
            <v>-2.155E-2</v>
          </cell>
          <cell r="AP4479">
            <v>2.409E-2</v>
          </cell>
        </row>
        <row r="4480">
          <cell r="D4480" t="str">
            <v>弥彦村</v>
          </cell>
          <cell r="E4480" t="str">
            <v>2040→2045</v>
          </cell>
          <cell r="F4480">
            <v>8.2729999999999998E-2</v>
          </cell>
          <cell r="G4480">
            <v>-1.176E-2</v>
          </cell>
          <cell r="H4480">
            <v>-8.0990000000000006E-2</v>
          </cell>
          <cell r="I4480">
            <v>-0.24374000000000001</v>
          </cell>
          <cell r="J4480">
            <v>1.01E-3</v>
          </cell>
          <cell r="K4480">
            <v>6.8000000000000005E-4</v>
          </cell>
          <cell r="L4480">
            <v>-9.1500000000000001E-3</v>
          </cell>
          <cell r="M4480">
            <v>1.6660000000000001E-2</v>
          </cell>
          <cell r="N4480">
            <v>1.239E-2</v>
          </cell>
          <cell r="O4480">
            <v>-8.1200000000000005E-3</v>
          </cell>
          <cell r="P4480">
            <v>1.7180000000000001E-2</v>
          </cell>
          <cell r="Q4480">
            <v>2.495E-2</v>
          </cell>
          <cell r="R4480">
            <v>1.435E-2</v>
          </cell>
          <cell r="S4480">
            <v>9.2700000000000005E-3</v>
          </cell>
          <cell r="T4480">
            <v>-1.6100000000000001E-3</v>
          </cell>
          <cell r="U4480">
            <v>-2.4680000000000001E-2</v>
          </cell>
          <cell r="V4480">
            <v>-4.9119999999999997E-2</v>
          </cell>
          <cell r="W4480">
            <v>-5.1799999999999999E-2</v>
          </cell>
          <cell r="Y4480">
            <v>0.10057000000000001</v>
          </cell>
          <cell r="Z4480">
            <v>1.627E-2</v>
          </cell>
          <cell r="AA4480">
            <v>-9.9669999999999995E-2</v>
          </cell>
          <cell r="AB4480">
            <v>-0.23215</v>
          </cell>
          <cell r="AC4480">
            <v>-7.9699999999999997E-3</v>
          </cell>
          <cell r="AD4480">
            <v>0.13203999999999999</v>
          </cell>
          <cell r="AE4480">
            <v>2.1069999999999998E-2</v>
          </cell>
          <cell r="AF4480">
            <v>2.2800000000000001E-2</v>
          </cell>
          <cell r="AG4480">
            <v>-2.15E-3</v>
          </cell>
          <cell r="AH4480">
            <v>2.7380000000000002E-2</v>
          </cell>
          <cell r="AI4480">
            <v>8.26E-3</v>
          </cell>
          <cell r="AJ4480">
            <v>-2.47E-3</v>
          </cell>
          <cell r="AK4480">
            <v>9.3600000000000003E-3</v>
          </cell>
          <cell r="AL4480">
            <v>-1.5630000000000002E-2</v>
          </cell>
          <cell r="AM4480">
            <v>-9.7000000000000003E-3</v>
          </cell>
          <cell r="AN4480">
            <v>-2.3570000000000001E-2</v>
          </cell>
          <cell r="AO4480">
            <v>-2.1579999999999998E-2</v>
          </cell>
          <cell r="AP4480">
            <v>3.5300000000000002E-3</v>
          </cell>
        </row>
        <row r="4481">
          <cell r="D4481" t="str">
            <v>田上町</v>
          </cell>
          <cell r="E4481" t="str">
            <v>2015→2020</v>
          </cell>
          <cell r="F4481">
            <v>6.046E-2</v>
          </cell>
          <cell r="G4481">
            <v>2.6199999999999999E-3</v>
          </cell>
          <cell r="H4481">
            <v>-4.6429999999999999E-2</v>
          </cell>
          <cell r="I4481">
            <v>-0.11484999999999999</v>
          </cell>
          <cell r="J4481">
            <v>-0.20704</v>
          </cell>
          <cell r="K4481">
            <v>-3.524E-2</v>
          </cell>
          <cell r="L4481">
            <v>1.124E-2</v>
          </cell>
          <cell r="M4481">
            <v>4.81E-3</v>
          </cell>
          <cell r="N4481">
            <v>6.3400000000000001E-3</v>
          </cell>
          <cell r="O4481">
            <v>-1.4420000000000001E-2</v>
          </cell>
          <cell r="P4481">
            <v>8.9800000000000001E-3</v>
          </cell>
          <cell r="Q4481">
            <v>3.5699999999999998E-3</v>
          </cell>
          <cell r="R4481">
            <v>-2.2100000000000002E-3</v>
          </cell>
          <cell r="S4481">
            <v>2.3189999999999999E-2</v>
          </cell>
          <cell r="T4481">
            <v>-1.966E-2</v>
          </cell>
          <cell r="U4481">
            <v>-2.2679999999999999E-2</v>
          </cell>
          <cell r="V4481">
            <v>-4.8120000000000003E-2</v>
          </cell>
          <cell r="W4481">
            <v>0.12786</v>
          </cell>
          <cell r="Y4481">
            <v>9.6329999999999999E-2</v>
          </cell>
          <cell r="Z4481">
            <v>5.0000000000000002E-5</v>
          </cell>
          <cell r="AA4481">
            <v>-2.6509999999999999E-2</v>
          </cell>
          <cell r="AB4481">
            <v>-0.30009000000000002</v>
          </cell>
          <cell r="AC4481">
            <v>-0.13103000000000001</v>
          </cell>
          <cell r="AD4481">
            <v>-7.2550000000000003E-2</v>
          </cell>
          <cell r="AE4481">
            <v>-1.975E-2</v>
          </cell>
          <cell r="AF4481">
            <v>1.404E-2</v>
          </cell>
          <cell r="AG4481">
            <v>0</v>
          </cell>
          <cell r="AH4481">
            <v>-9.1599999999999997E-3</v>
          </cell>
          <cell r="AI4481">
            <v>4.96E-3</v>
          </cell>
          <cell r="AJ4481">
            <v>-3.7200000000000002E-3</v>
          </cell>
          <cell r="AK4481">
            <v>1.1299999999999999E-2</v>
          </cell>
          <cell r="AL4481">
            <v>-1.7639999999999999E-2</v>
          </cell>
          <cell r="AM4481">
            <v>6.0000000000000001E-3</v>
          </cell>
          <cell r="AN4481">
            <v>1.4149999999999999E-2</v>
          </cell>
          <cell r="AO4481">
            <v>4.2970000000000001E-2</v>
          </cell>
          <cell r="AP4481">
            <v>8.1869999999999998E-2</v>
          </cell>
        </row>
        <row r="4482">
          <cell r="D4482" t="str">
            <v>田上町</v>
          </cell>
          <cell r="E4482" t="str">
            <v>2020→2025</v>
          </cell>
          <cell r="F4482">
            <v>6.2289999999999998E-2</v>
          </cell>
          <cell r="G4482">
            <v>3.82E-3</v>
          </cell>
          <cell r="H4482">
            <v>-4.7640000000000002E-2</v>
          </cell>
          <cell r="I4482">
            <v>-0.11933000000000001</v>
          </cell>
          <cell r="J4482">
            <v>-0.20655999999999999</v>
          </cell>
          <cell r="K4482">
            <v>-3.3799999999999997E-2</v>
          </cell>
          <cell r="L4482">
            <v>1.405E-2</v>
          </cell>
          <cell r="M4482">
            <v>4.9100000000000003E-3</v>
          </cell>
          <cell r="N4482">
            <v>1.0500000000000001E-2</v>
          </cell>
          <cell r="O4482">
            <v>-1.4420000000000001E-2</v>
          </cell>
          <cell r="P4482">
            <v>9.1699999999999993E-3</v>
          </cell>
          <cell r="Q4482">
            <v>3.5500000000000002E-3</v>
          </cell>
          <cell r="R4482">
            <v>-1.5100000000000001E-3</v>
          </cell>
          <cell r="S4482">
            <v>2.2429999999999999E-2</v>
          </cell>
          <cell r="T4482">
            <v>-1.737E-2</v>
          </cell>
          <cell r="U4482">
            <v>-2.4369999999999999E-2</v>
          </cell>
          <cell r="V4482">
            <v>-5.0009999999999999E-2</v>
          </cell>
          <cell r="W4482">
            <v>0.11745999999999999</v>
          </cell>
          <cell r="Y4482">
            <v>9.9479999999999999E-2</v>
          </cell>
          <cell r="Z4482">
            <v>7.2000000000000005E-4</v>
          </cell>
          <cell r="AA4482">
            <v>-2.6939999999999999E-2</v>
          </cell>
          <cell r="AB4482">
            <v>-0.30026000000000003</v>
          </cell>
          <cell r="AC4482">
            <v>-0.13439000000000001</v>
          </cell>
          <cell r="AD4482">
            <v>-6.3119999999999996E-2</v>
          </cell>
          <cell r="AE4482">
            <v>-1.661E-2</v>
          </cell>
          <cell r="AF4482">
            <v>1.4749999999999999E-2</v>
          </cell>
          <cell r="AG4482">
            <v>3.0200000000000001E-3</v>
          </cell>
          <cell r="AH4482">
            <v>-9.0500000000000008E-3</v>
          </cell>
          <cell r="AI4482">
            <v>4.7699999999999999E-3</v>
          </cell>
          <cell r="AJ4482">
            <v>-3.6800000000000001E-3</v>
          </cell>
          <cell r="AK4482">
            <v>1.5520000000000001E-2</v>
          </cell>
          <cell r="AL4482">
            <v>-1.8509999999999999E-2</v>
          </cell>
          <cell r="AM4482">
            <v>8.4899999999999993E-3</v>
          </cell>
          <cell r="AN4482">
            <v>1.0999999999999999E-2</v>
          </cell>
          <cell r="AO4482">
            <v>4.0649999999999999E-2</v>
          </cell>
          <cell r="AP4482">
            <v>7.5139999999999998E-2</v>
          </cell>
        </row>
        <row r="4483">
          <cell r="D4483" t="str">
            <v>田上町</v>
          </cell>
          <cell r="E4483" t="str">
            <v>2025→2030</v>
          </cell>
          <cell r="F4483">
            <v>6.3820000000000002E-2</v>
          </cell>
          <cell r="G4483">
            <v>4.0899999999999999E-3</v>
          </cell>
          <cell r="H4483">
            <v>-4.759E-2</v>
          </cell>
          <cell r="I4483">
            <v>-0.12175</v>
          </cell>
          <cell r="J4483">
            <v>-0.20723</v>
          </cell>
          <cell r="K4483">
            <v>-3.6569999999999998E-2</v>
          </cell>
          <cell r="L4483">
            <v>1.421E-2</v>
          </cell>
          <cell r="M4483">
            <v>5.8100000000000001E-3</v>
          </cell>
          <cell r="N4483">
            <v>1.042E-2</v>
          </cell>
          <cell r="O4483">
            <v>-1.248E-2</v>
          </cell>
          <cell r="P4483">
            <v>9.1900000000000003E-3</v>
          </cell>
          <cell r="Q4483">
            <v>3.9699999999999996E-3</v>
          </cell>
          <cell r="R4483">
            <v>-1.57E-3</v>
          </cell>
          <cell r="S4483">
            <v>2.785E-2</v>
          </cell>
          <cell r="T4483">
            <v>-2.0160000000000001E-2</v>
          </cell>
          <cell r="U4483">
            <v>-2.0049999999999998E-2</v>
          </cell>
          <cell r="V4483">
            <v>-5.2470000000000003E-2</v>
          </cell>
          <cell r="W4483">
            <v>0.10798000000000001</v>
          </cell>
          <cell r="Y4483">
            <v>0.10165</v>
          </cell>
          <cell r="Z4483">
            <v>9.3999999999999997E-4</v>
          </cell>
          <cell r="AA4483">
            <v>-2.7310000000000001E-2</v>
          </cell>
          <cell r="AB4483">
            <v>-0.30034</v>
          </cell>
          <cell r="AC4483">
            <v>-0.13747000000000001</v>
          </cell>
          <cell r="AD4483">
            <v>-5.3159999999999999E-2</v>
          </cell>
          <cell r="AE4483">
            <v>-1.6049999999999998E-2</v>
          </cell>
          <cell r="AF4483">
            <v>1.6119999999999999E-2</v>
          </cell>
          <cell r="AG4483">
            <v>3.0000000000000001E-3</v>
          </cell>
          <cell r="AH4483">
            <v>-8.6599999999999993E-3</v>
          </cell>
          <cell r="AI4483">
            <v>5.2399999999999999E-3</v>
          </cell>
          <cell r="AJ4483">
            <v>-3.6800000000000001E-3</v>
          </cell>
          <cell r="AK4483">
            <v>1.439E-2</v>
          </cell>
          <cell r="AL4483">
            <v>-1.8110000000000001E-2</v>
          </cell>
          <cell r="AM4483">
            <v>4.7000000000000002E-3</v>
          </cell>
          <cell r="AN4483">
            <v>1.6760000000000001E-2</v>
          </cell>
          <cell r="AO4483">
            <v>3.4720000000000001E-2</v>
          </cell>
          <cell r="AP4483">
            <v>6.4680000000000001E-2</v>
          </cell>
        </row>
        <row r="4484">
          <cell r="D4484" t="str">
            <v>田上町</v>
          </cell>
          <cell r="E4484" t="str">
            <v>2030→2035</v>
          </cell>
          <cell r="F4484">
            <v>6.3979999999999995E-2</v>
          </cell>
          <cell r="G4484">
            <v>4.4400000000000004E-3</v>
          </cell>
          <cell r="H4484">
            <v>-4.8039999999999999E-2</v>
          </cell>
          <cell r="I4484">
            <v>-0.12217</v>
          </cell>
          <cell r="J4484">
            <v>-0.20727999999999999</v>
          </cell>
          <cell r="K4484">
            <v>-4.0210000000000003E-2</v>
          </cell>
          <cell r="L4484">
            <v>1.086E-2</v>
          </cell>
          <cell r="M4484">
            <v>5.5900000000000004E-3</v>
          </cell>
          <cell r="N4484">
            <v>1.0880000000000001E-2</v>
          </cell>
          <cell r="O4484">
            <v>-1.2630000000000001E-2</v>
          </cell>
          <cell r="P4484">
            <v>1.0840000000000001E-2</v>
          </cell>
          <cell r="Q4484">
            <v>3.7399999999999998E-3</v>
          </cell>
          <cell r="R4484">
            <v>-1.32E-3</v>
          </cell>
          <cell r="S4484">
            <v>2.7740000000000001E-2</v>
          </cell>
          <cell r="T4484">
            <v>-1.9E-2</v>
          </cell>
          <cell r="U4484">
            <v>-2.5190000000000001E-2</v>
          </cell>
          <cell r="V4484">
            <v>-4.6330000000000003E-2</v>
          </cell>
          <cell r="W4484">
            <v>0.10145999999999999</v>
          </cell>
          <cell r="Y4484">
            <v>0.10185</v>
          </cell>
          <cell r="Z4484">
            <v>1.17E-3</v>
          </cell>
          <cell r="AA4484">
            <v>-2.7550000000000002E-2</v>
          </cell>
          <cell r="AB4484">
            <v>-0.30041000000000001</v>
          </cell>
          <cell r="AC4484">
            <v>-0.13752</v>
          </cell>
          <cell r="AD4484">
            <v>-5.7820000000000003E-2</v>
          </cell>
          <cell r="AE4484">
            <v>-1.9650000000000001E-2</v>
          </cell>
          <cell r="AF4484">
            <v>1.5970000000000002E-2</v>
          </cell>
          <cell r="AG4484">
            <v>3.5799999999999998E-3</v>
          </cell>
          <cell r="AH4484">
            <v>-8.6800000000000002E-3</v>
          </cell>
          <cell r="AI4484">
            <v>6.3600000000000002E-3</v>
          </cell>
          <cell r="AJ4484">
            <v>-3.4299999999999999E-3</v>
          </cell>
          <cell r="AK4484">
            <v>1.3899999999999999E-2</v>
          </cell>
          <cell r="AL4484">
            <v>-1.7989999999999999E-2</v>
          </cell>
          <cell r="AM4484">
            <v>9.1800000000000007E-3</v>
          </cell>
          <cell r="AN4484">
            <v>1.132E-2</v>
          </cell>
          <cell r="AO4484">
            <v>4.4880000000000003E-2</v>
          </cell>
          <cell r="AP4484">
            <v>6.0130000000000003E-2</v>
          </cell>
        </row>
        <row r="4485">
          <cell r="D4485" t="str">
            <v>田上町</v>
          </cell>
          <cell r="E4485" t="str">
            <v>2035→2040</v>
          </cell>
          <cell r="F4485">
            <v>6.3960000000000003E-2</v>
          </cell>
          <cell r="G4485">
            <v>4.3200000000000001E-3</v>
          </cell>
          <cell r="H4485">
            <v>-4.8550000000000003E-2</v>
          </cell>
          <cell r="I4485">
            <v>-0.12335</v>
          </cell>
          <cell r="J4485">
            <v>-0.20713000000000001</v>
          </cell>
          <cell r="K4485">
            <v>-4.1209999999999997E-2</v>
          </cell>
          <cell r="L4485">
            <v>6.7799999999999996E-3</v>
          </cell>
          <cell r="M4485">
            <v>3.2000000000000002E-3</v>
          </cell>
          <cell r="N4485">
            <v>1.0659999999999999E-2</v>
          </cell>
          <cell r="O4485">
            <v>-1.226E-2</v>
          </cell>
          <cell r="P4485">
            <v>1.064E-2</v>
          </cell>
          <cell r="Q4485">
            <v>5.0299999999999997E-3</v>
          </cell>
          <cell r="R4485">
            <v>-1.8E-3</v>
          </cell>
          <cell r="S4485">
            <v>2.7369999999999998E-2</v>
          </cell>
          <cell r="T4485">
            <v>-1.865E-2</v>
          </cell>
          <cell r="U4485">
            <v>-2.3539999999999998E-2</v>
          </cell>
          <cell r="V4485">
            <v>-5.2949999999999997E-2</v>
          </cell>
          <cell r="W4485">
            <v>0.11662</v>
          </cell>
          <cell r="Y4485">
            <v>0.10174</v>
          </cell>
          <cell r="Z4485">
            <v>1.07E-3</v>
          </cell>
          <cell r="AA4485">
            <v>-2.8000000000000001E-2</v>
          </cell>
          <cell r="AB4485">
            <v>-0.30046</v>
          </cell>
          <cell r="AC4485">
            <v>-0.13793</v>
          </cell>
          <cell r="AD4485">
            <v>-5.8349999999999999E-2</v>
          </cell>
          <cell r="AE4485">
            <v>-2.2870000000000001E-2</v>
          </cell>
          <cell r="AF4485">
            <v>1.3220000000000001E-2</v>
          </cell>
          <cell r="AG4485">
            <v>3.3400000000000001E-3</v>
          </cell>
          <cell r="AH4485">
            <v>-8.5500000000000003E-3</v>
          </cell>
          <cell r="AI4485">
            <v>6.2599999999999999E-3</v>
          </cell>
          <cell r="AJ4485">
            <v>-2.7599999999999999E-3</v>
          </cell>
          <cell r="AK4485">
            <v>1.4120000000000001E-2</v>
          </cell>
          <cell r="AL4485">
            <v>-1.7919999999999998E-2</v>
          </cell>
          <cell r="AM4485">
            <v>7.7200000000000003E-3</v>
          </cell>
          <cell r="AN4485">
            <v>1.5610000000000001E-2</v>
          </cell>
          <cell r="AO4485">
            <v>4.3479999999999998E-2</v>
          </cell>
          <cell r="AP4485">
            <v>7.1919999999999998E-2</v>
          </cell>
        </row>
        <row r="4486">
          <cell r="D4486" t="str">
            <v>田上町</v>
          </cell>
          <cell r="E4486" t="str">
            <v>2040→2045</v>
          </cell>
          <cell r="F4486">
            <v>6.3399999999999998E-2</v>
          </cell>
          <cell r="G4486">
            <v>4.13E-3</v>
          </cell>
          <cell r="H4486">
            <v>-4.9910000000000003E-2</v>
          </cell>
          <cell r="I4486">
            <v>-0.12492</v>
          </cell>
          <cell r="J4486">
            <v>-0.20713999999999999</v>
          </cell>
          <cell r="K4486">
            <v>-4.0730000000000002E-2</v>
          </cell>
          <cell r="L4486">
            <v>5.7099999999999998E-3</v>
          </cell>
          <cell r="M4486">
            <v>5.5000000000000003E-4</v>
          </cell>
          <cell r="N4486">
            <v>9.2399999999999999E-3</v>
          </cell>
          <cell r="O4486">
            <v>-1.231E-2</v>
          </cell>
          <cell r="P4486">
            <v>1.111E-2</v>
          </cell>
          <cell r="Q4486">
            <v>5.0299999999999997E-3</v>
          </cell>
          <cell r="R4486">
            <v>-1.4400000000000001E-3</v>
          </cell>
          <cell r="S4486">
            <v>2.6679999999999999E-2</v>
          </cell>
          <cell r="T4486">
            <v>-1.8350000000000002E-2</v>
          </cell>
          <cell r="U4486">
            <v>-2.2780000000000002E-2</v>
          </cell>
          <cell r="V4486">
            <v>-5.083E-2</v>
          </cell>
          <cell r="W4486">
            <v>9.3990000000000004E-2</v>
          </cell>
          <cell r="Y4486">
            <v>0.10085</v>
          </cell>
          <cell r="Z4486">
            <v>9.2000000000000003E-4</v>
          </cell>
          <cell r="AA4486">
            <v>-2.9020000000000001E-2</v>
          </cell>
          <cell r="AB4486">
            <v>-0.30053999999999997</v>
          </cell>
          <cell r="AC4486">
            <v>-0.13789000000000001</v>
          </cell>
          <cell r="AD4486">
            <v>-5.8310000000000001E-2</v>
          </cell>
          <cell r="AE4486">
            <v>-2.324E-2</v>
          </cell>
          <cell r="AF4486">
            <v>1.093E-2</v>
          </cell>
          <cell r="AG4486">
            <v>1.73E-3</v>
          </cell>
          <cell r="AH4486">
            <v>-8.5299999999999994E-3</v>
          </cell>
          <cell r="AI4486">
            <v>6.8500000000000002E-3</v>
          </cell>
          <cell r="AJ4486">
            <v>-2.7299999999999998E-3</v>
          </cell>
          <cell r="AK4486">
            <v>1.542E-2</v>
          </cell>
          <cell r="AL4486">
            <v>-1.8200000000000001E-2</v>
          </cell>
          <cell r="AM4486">
            <v>7.0299999999999998E-3</v>
          </cell>
          <cell r="AN4486">
            <v>1.355E-2</v>
          </cell>
          <cell r="AO4486">
            <v>4.249E-2</v>
          </cell>
          <cell r="AP4486">
            <v>5.1389999999999998E-2</v>
          </cell>
        </row>
        <row r="4487">
          <cell r="D4487" t="str">
            <v>阿賀町</v>
          </cell>
          <cell r="E4487" t="str">
            <v>2015→2020</v>
          </cell>
          <cell r="F4487">
            <v>3.4329999999999999E-2</v>
          </cell>
          <cell r="G4487">
            <v>-3.2919999999999998E-2</v>
          </cell>
          <cell r="H4487">
            <v>-0.21535000000000001</v>
          </cell>
          <cell r="I4487">
            <v>-0.40189999999999998</v>
          </cell>
          <cell r="J4487">
            <v>-4.5150000000000003E-2</v>
          </cell>
          <cell r="K4487">
            <v>-0.13725999999999999</v>
          </cell>
          <cell r="L4487">
            <v>-5.1380000000000002E-2</v>
          </cell>
          <cell r="M4487">
            <v>-3.4669999999999999E-2</v>
          </cell>
          <cell r="N4487">
            <v>-3.049E-2</v>
          </cell>
          <cell r="O4487">
            <v>4.0999999999999999E-4</v>
          </cell>
          <cell r="P4487">
            <v>-5.2399999999999999E-3</v>
          </cell>
          <cell r="Q4487">
            <v>4.0000000000000002E-4</v>
          </cell>
          <cell r="R4487">
            <v>4.3299999999999996E-3</v>
          </cell>
          <cell r="S4487">
            <v>1.5259999999999999E-2</v>
          </cell>
          <cell r="T4487">
            <v>-3.3700000000000002E-3</v>
          </cell>
          <cell r="U4487">
            <v>-3.5209999999999998E-2</v>
          </cell>
          <cell r="V4487">
            <v>-2.48E-3</v>
          </cell>
          <cell r="W4487">
            <v>3.3090000000000001E-2</v>
          </cell>
          <cell r="Y4487">
            <v>-2.2380000000000001E-2</v>
          </cell>
          <cell r="Z4487">
            <v>-5.364E-2</v>
          </cell>
          <cell r="AA4487">
            <v>-0.15781000000000001</v>
          </cell>
          <cell r="AB4487">
            <v>-0.45619999999999999</v>
          </cell>
          <cell r="AC4487">
            <v>-5.2330000000000002E-2</v>
          </cell>
          <cell r="AD4487">
            <v>-1.4829999999999999E-2</v>
          </cell>
          <cell r="AE4487">
            <v>-0.12179</v>
          </cell>
          <cell r="AF4487">
            <v>9.2700000000000005E-3</v>
          </cell>
          <cell r="AG4487">
            <v>-5.9720000000000002E-2</v>
          </cell>
          <cell r="AH4487">
            <v>-3.7530000000000001E-2</v>
          </cell>
          <cell r="AI4487">
            <v>-1.89E-3</v>
          </cell>
          <cell r="AJ4487">
            <v>3.5300000000000002E-3</v>
          </cell>
          <cell r="AK4487">
            <v>-9.2999999999999992E-3</v>
          </cell>
          <cell r="AL4487">
            <v>1.065E-2</v>
          </cell>
          <cell r="AM4487">
            <v>-5.0299999999999997E-3</v>
          </cell>
          <cell r="AN4487">
            <v>-3.6630000000000003E-2</v>
          </cell>
          <cell r="AO4487">
            <v>-5.2170000000000001E-2</v>
          </cell>
          <cell r="AP4487">
            <v>-3.5300000000000002E-3</v>
          </cell>
        </row>
        <row r="4488">
          <cell r="D4488" t="str">
            <v>阿賀町</v>
          </cell>
          <cell r="E4488" t="str">
            <v>2020→2025</v>
          </cell>
          <cell r="F4488">
            <v>3.5770000000000003E-2</v>
          </cell>
          <cell r="G4488">
            <v>-3.2809999999999999E-2</v>
          </cell>
          <cell r="H4488">
            <v>-0.21535000000000001</v>
          </cell>
          <cell r="I4488">
            <v>-0.40189999999999998</v>
          </cell>
          <cell r="J4488">
            <v>-5.0529999999999999E-2</v>
          </cell>
          <cell r="K4488">
            <v>-0.13320000000000001</v>
          </cell>
          <cell r="L4488">
            <v>-4.9689999999999998E-2</v>
          </cell>
          <cell r="M4488">
            <v>-3.431E-2</v>
          </cell>
          <cell r="N4488">
            <v>-2.8250000000000001E-2</v>
          </cell>
          <cell r="O4488">
            <v>9.8999999999999999E-4</v>
          </cell>
          <cell r="P4488">
            <v>-5.8900000000000003E-3</v>
          </cell>
          <cell r="Q4488">
            <v>1.6000000000000001E-4</v>
          </cell>
          <cell r="R4488">
            <v>5.4799999999999996E-3</v>
          </cell>
          <cell r="S4488">
            <v>1.405E-2</v>
          </cell>
          <cell r="T4488">
            <v>4.6999999999999999E-4</v>
          </cell>
          <cell r="U4488">
            <v>-3.6799999999999999E-2</v>
          </cell>
          <cell r="V4488">
            <v>-5.0899999999999999E-3</v>
          </cell>
          <cell r="W4488">
            <v>2.5600000000000001E-2</v>
          </cell>
          <cell r="Y4488">
            <v>-2.1340000000000001E-2</v>
          </cell>
          <cell r="Z4488">
            <v>-5.364E-2</v>
          </cell>
          <cell r="AA4488">
            <v>-0.15781000000000001</v>
          </cell>
          <cell r="AB4488">
            <v>-0.45645000000000002</v>
          </cell>
          <cell r="AC4488">
            <v>-6.166E-2</v>
          </cell>
          <cell r="AD4488">
            <v>-1.4420000000000001E-2</v>
          </cell>
          <cell r="AE4488">
            <v>-0.12096</v>
          </cell>
          <cell r="AF4488">
            <v>1.0370000000000001E-2</v>
          </cell>
          <cell r="AG4488">
            <v>-5.892E-2</v>
          </cell>
          <cell r="AH4488">
            <v>-3.7409999999999999E-2</v>
          </cell>
          <cell r="AI4488">
            <v>-2.5600000000000002E-3</v>
          </cell>
          <cell r="AJ4488">
            <v>3.3400000000000001E-3</v>
          </cell>
          <cell r="AK4488">
            <v>-8.5599999999999999E-3</v>
          </cell>
          <cell r="AL4488">
            <v>1.294E-2</v>
          </cell>
          <cell r="AM4488">
            <v>-2.8300000000000001E-3</v>
          </cell>
          <cell r="AN4488">
            <v>-3.7080000000000002E-2</v>
          </cell>
          <cell r="AO4488">
            <v>-5.3789999999999998E-2</v>
          </cell>
          <cell r="AP4488">
            <v>-1.013E-2</v>
          </cell>
        </row>
        <row r="4489">
          <cell r="D4489" t="str">
            <v>阿賀町</v>
          </cell>
          <cell r="E4489" t="str">
            <v>2025→2030</v>
          </cell>
          <cell r="F4489">
            <v>3.678E-2</v>
          </cell>
          <cell r="G4489">
            <v>-3.2800000000000003E-2</v>
          </cell>
          <cell r="H4489">
            <v>-0.21535000000000001</v>
          </cell>
          <cell r="I4489">
            <v>-0.40189999999999998</v>
          </cell>
          <cell r="J4489">
            <v>-5.5649999999999998E-2</v>
          </cell>
          <cell r="K4489">
            <v>-0.13633000000000001</v>
          </cell>
          <cell r="L4489">
            <v>-5.033E-2</v>
          </cell>
          <cell r="M4489">
            <v>-3.3869999999999997E-2</v>
          </cell>
          <cell r="N4489">
            <v>-2.8299999999999999E-2</v>
          </cell>
          <cell r="O4489">
            <v>4.0699999999999998E-3</v>
          </cell>
          <cell r="P4489">
            <v>-5.96E-3</v>
          </cell>
          <cell r="Q4489">
            <v>6.0000000000000002E-5</v>
          </cell>
          <cell r="R4489">
            <v>5.1399999999999996E-3</v>
          </cell>
          <cell r="S4489">
            <v>1.6389999999999998E-2</v>
          </cell>
          <cell r="T4489">
            <v>-7.7999999999999999E-4</v>
          </cell>
          <cell r="U4489">
            <v>-3.2480000000000002E-2</v>
          </cell>
          <cell r="V4489">
            <v>-9.2999999999999992E-3</v>
          </cell>
          <cell r="W4489">
            <v>1.7420000000000001E-2</v>
          </cell>
          <cell r="Y4489">
            <v>-2.07E-2</v>
          </cell>
          <cell r="Z4489">
            <v>-5.364E-2</v>
          </cell>
          <cell r="AA4489">
            <v>-0.15781000000000001</v>
          </cell>
          <cell r="AB4489">
            <v>-0.45669999999999999</v>
          </cell>
          <cell r="AC4489">
            <v>-6.701E-2</v>
          </cell>
          <cell r="AD4489">
            <v>-2.1340000000000001E-2</v>
          </cell>
          <cell r="AE4489">
            <v>-0.1212</v>
          </cell>
          <cell r="AF4489">
            <v>1.154E-2</v>
          </cell>
          <cell r="AG4489">
            <v>-5.8880000000000002E-2</v>
          </cell>
          <cell r="AH4489">
            <v>-3.6499999999999998E-2</v>
          </cell>
          <cell r="AI4489">
            <v>-2.3E-3</v>
          </cell>
          <cell r="AJ4489">
            <v>3.0599999999999998E-3</v>
          </cell>
          <cell r="AK4489">
            <v>-8.94E-3</v>
          </cell>
          <cell r="AL4489">
            <v>1.2500000000000001E-2</v>
          </cell>
          <cell r="AM4489">
            <v>-3.0999999999999999E-3</v>
          </cell>
          <cell r="AN4489">
            <v>-3.458E-2</v>
          </cell>
          <cell r="AO4489">
            <v>-5.611E-2</v>
          </cell>
          <cell r="AP4489">
            <v>-1.976E-2</v>
          </cell>
        </row>
        <row r="4490">
          <cell r="D4490" t="str">
            <v>阿賀町</v>
          </cell>
          <cell r="E4490" t="str">
            <v>2030→2035</v>
          </cell>
          <cell r="F4490">
            <v>3.6380000000000003E-2</v>
          </cell>
          <cell r="G4490">
            <v>-3.2779999999999997E-2</v>
          </cell>
          <cell r="H4490">
            <v>-0.21535000000000001</v>
          </cell>
          <cell r="I4490">
            <v>-0.40189999999999998</v>
          </cell>
          <cell r="J4490">
            <v>-5.7439999999999998E-2</v>
          </cell>
          <cell r="K4490">
            <v>-0.13883999999999999</v>
          </cell>
          <cell r="L4490">
            <v>-5.4179999999999999E-2</v>
          </cell>
          <cell r="M4490">
            <v>-3.4500000000000003E-2</v>
          </cell>
          <cell r="N4490">
            <v>-2.809E-2</v>
          </cell>
          <cell r="O4490">
            <v>4.0099999999999997E-3</v>
          </cell>
          <cell r="P4490">
            <v>-4.0600000000000002E-3</v>
          </cell>
          <cell r="Q4490">
            <v>-1.6000000000000001E-4</v>
          </cell>
          <cell r="R4490">
            <v>5.1399999999999996E-3</v>
          </cell>
          <cell r="S4490">
            <v>1.7590000000000001E-2</v>
          </cell>
          <cell r="T4490">
            <v>-4.0000000000000002E-4</v>
          </cell>
          <cell r="U4490">
            <v>-3.7530000000000001E-2</v>
          </cell>
          <cell r="V4490">
            <v>1.0000000000000001E-5</v>
          </cell>
          <cell r="W4490">
            <v>1.319E-2</v>
          </cell>
          <cell r="Y4490">
            <v>-2.0969999999999999E-2</v>
          </cell>
          <cell r="Z4490">
            <v>-5.364E-2</v>
          </cell>
          <cell r="AA4490">
            <v>-0.15781000000000001</v>
          </cell>
          <cell r="AB4490">
            <v>-0.45684000000000002</v>
          </cell>
          <cell r="AC4490">
            <v>-6.9779999999999995E-2</v>
          </cell>
          <cell r="AD4490">
            <v>-2.5409999999999999E-2</v>
          </cell>
          <cell r="AE4490">
            <v>-0.12257999999999999</v>
          </cell>
          <cell r="AF4490">
            <v>1.0500000000000001E-2</v>
          </cell>
          <cell r="AG4490">
            <v>-5.8770000000000003E-2</v>
          </cell>
          <cell r="AH4490">
            <v>-3.6459999999999999E-2</v>
          </cell>
          <cell r="AI4490">
            <v>-1.1299999999999999E-3</v>
          </cell>
          <cell r="AJ4490">
            <v>3.1900000000000001E-3</v>
          </cell>
          <cell r="AK4490">
            <v>-9.1699999999999993E-3</v>
          </cell>
          <cell r="AL4490">
            <v>1.0619999999999999E-2</v>
          </cell>
          <cell r="AM4490">
            <v>-3.0599999999999998E-3</v>
          </cell>
          <cell r="AN4490">
            <v>-3.7819999999999999E-2</v>
          </cell>
          <cell r="AO4490">
            <v>-5.0520000000000002E-2</v>
          </cell>
          <cell r="AP4490">
            <v>-2.2790000000000001E-2</v>
          </cell>
        </row>
        <row r="4491">
          <cell r="D4491" t="str">
            <v>阿賀町</v>
          </cell>
          <cell r="E4491" t="str">
            <v>2035→2040</v>
          </cell>
          <cell r="F4491">
            <v>3.5659999999999997E-2</v>
          </cell>
          <cell r="G4491">
            <v>-3.2809999999999999E-2</v>
          </cell>
          <cell r="H4491">
            <v>-0.21535000000000001</v>
          </cell>
          <cell r="I4491">
            <v>-0.40189999999999998</v>
          </cell>
          <cell r="J4491">
            <v>-5.704E-2</v>
          </cell>
          <cell r="K4491">
            <v>-0.14008999999999999</v>
          </cell>
          <cell r="L4491">
            <v>-5.7320000000000003E-2</v>
          </cell>
          <cell r="M4491">
            <v>-3.7240000000000002E-2</v>
          </cell>
          <cell r="N4491">
            <v>-2.8469999999999999E-2</v>
          </cell>
          <cell r="O4491">
            <v>4.5100000000000001E-3</v>
          </cell>
          <cell r="P4491">
            <v>-4.1200000000000004E-3</v>
          </cell>
          <cell r="Q4491">
            <v>7.6999999999999996E-4</v>
          </cell>
          <cell r="R4491">
            <v>4.62E-3</v>
          </cell>
          <cell r="S4491">
            <v>1.6959999999999999E-2</v>
          </cell>
          <cell r="T4491">
            <v>-1.2800000000000001E-3</v>
          </cell>
          <cell r="U4491">
            <v>-3.6069999999999998E-2</v>
          </cell>
          <cell r="V4491">
            <v>-3.7399999999999998E-3</v>
          </cell>
          <cell r="W4491">
            <v>2.4160000000000001E-2</v>
          </cell>
          <cell r="Y4491">
            <v>-2.147E-2</v>
          </cell>
          <cell r="Z4491">
            <v>-5.364E-2</v>
          </cell>
          <cell r="AA4491">
            <v>-0.15781000000000001</v>
          </cell>
          <cell r="AB4491">
            <v>-0.45694000000000001</v>
          </cell>
          <cell r="AC4491">
            <v>-7.102E-2</v>
          </cell>
          <cell r="AD4491">
            <v>-2.7720000000000002E-2</v>
          </cell>
          <cell r="AE4491">
            <v>-0.12345</v>
          </cell>
          <cell r="AF4491">
            <v>6.9899999999999997E-3</v>
          </cell>
          <cell r="AG4491">
            <v>-5.8950000000000002E-2</v>
          </cell>
          <cell r="AH4491">
            <v>-3.6229999999999998E-2</v>
          </cell>
          <cell r="AI4491">
            <v>-1.1000000000000001E-3</v>
          </cell>
          <cell r="AJ4491">
            <v>3.9399999999999999E-3</v>
          </cell>
          <cell r="AK4491">
            <v>-9.2800000000000001E-3</v>
          </cell>
          <cell r="AL4491">
            <v>9.41E-3</v>
          </cell>
          <cell r="AM4491">
            <v>-3.79E-3</v>
          </cell>
          <cell r="AN4491">
            <v>-3.6880000000000003E-2</v>
          </cell>
          <cell r="AO4491">
            <v>-5.4469999999999998E-2</v>
          </cell>
          <cell r="AP4491">
            <v>-1.2959999999999999E-2</v>
          </cell>
        </row>
        <row r="4492">
          <cell r="D4492" t="str">
            <v>阿賀町</v>
          </cell>
          <cell r="E4492" t="str">
            <v>2040→2045</v>
          </cell>
          <cell r="F4492">
            <v>3.4450000000000001E-2</v>
          </cell>
          <cell r="G4492">
            <v>-3.286E-2</v>
          </cell>
          <cell r="H4492">
            <v>-0.21535000000000001</v>
          </cell>
          <cell r="I4492">
            <v>-0.40189999999999998</v>
          </cell>
          <cell r="J4492">
            <v>-5.7369999999999997E-2</v>
          </cell>
          <cell r="K4492">
            <v>-0.14007</v>
          </cell>
          <cell r="L4492">
            <v>-5.8749999999999997E-2</v>
          </cell>
          <cell r="M4492">
            <v>-3.9399999999999998E-2</v>
          </cell>
          <cell r="N4492">
            <v>-2.9940000000000001E-2</v>
          </cell>
          <cell r="O4492">
            <v>4.0299999999999997E-3</v>
          </cell>
          <cell r="P4492">
            <v>-3.7399999999999998E-3</v>
          </cell>
          <cell r="Q4492">
            <v>8.5999999999999998E-4</v>
          </cell>
          <cell r="R4492">
            <v>5.1799999999999997E-3</v>
          </cell>
          <cell r="S4492">
            <v>1.6209999999999999E-2</v>
          </cell>
          <cell r="T4492">
            <v>-1.48E-3</v>
          </cell>
          <cell r="U4492">
            <v>-3.533E-2</v>
          </cell>
          <cell r="V4492">
            <v>-2.5200000000000001E-3</v>
          </cell>
          <cell r="W4492">
            <v>4.5199999999999997E-3</v>
          </cell>
          <cell r="Y4492">
            <v>-2.2290000000000001E-2</v>
          </cell>
          <cell r="Z4492">
            <v>-5.364E-2</v>
          </cell>
          <cell r="AA4492">
            <v>-0.15781000000000001</v>
          </cell>
          <cell r="AB4492">
            <v>-0.45709</v>
          </cell>
          <cell r="AC4492">
            <v>-7.1660000000000001E-2</v>
          </cell>
          <cell r="AD4492">
            <v>-2.8029999999999999E-2</v>
          </cell>
          <cell r="AE4492">
            <v>-0.12389</v>
          </cell>
          <cell r="AF4492">
            <v>4.8300000000000001E-3</v>
          </cell>
          <cell r="AG4492">
            <v>-5.9450000000000003E-2</v>
          </cell>
          <cell r="AH4492">
            <v>-3.6389999999999999E-2</v>
          </cell>
          <cell r="AI4492">
            <v>-5.9999999999999995E-4</v>
          </cell>
          <cell r="AJ4492">
            <v>4.0499999999999998E-3</v>
          </cell>
          <cell r="AK4492">
            <v>-8.9300000000000004E-3</v>
          </cell>
          <cell r="AL4492">
            <v>9.2899999999999996E-3</v>
          </cell>
          <cell r="AM4492">
            <v>-4.1999999999999997E-3</v>
          </cell>
          <cell r="AN4492">
            <v>-3.6229999999999998E-2</v>
          </cell>
          <cell r="AO4492">
            <v>-5.339E-2</v>
          </cell>
          <cell r="AP4492">
            <v>-3.3160000000000002E-2</v>
          </cell>
        </row>
        <row r="4493">
          <cell r="D4493" t="str">
            <v>出雲崎町</v>
          </cell>
          <cell r="E4493" t="str">
            <v>2015→2020</v>
          </cell>
          <cell r="F4493">
            <v>2.349E-2</v>
          </cell>
          <cell r="G4493">
            <v>-4.5449999999999997E-2</v>
          </cell>
          <cell r="H4493">
            <v>-0.12131</v>
          </cell>
          <cell r="I4493">
            <v>-0.36623</v>
          </cell>
          <cell r="J4493">
            <v>0.151</v>
          </cell>
          <cell r="K4493">
            <v>-2.316E-2</v>
          </cell>
          <cell r="L4493">
            <v>6.3789999999999999E-2</v>
          </cell>
          <cell r="M4493">
            <v>-1.17E-3</v>
          </cell>
          <cell r="N4493">
            <v>-2.877E-2</v>
          </cell>
          <cell r="O4493">
            <v>-1.941E-2</v>
          </cell>
          <cell r="P4493">
            <v>2.0420000000000001E-2</v>
          </cell>
          <cell r="Q4493">
            <v>3.1199999999999999E-2</v>
          </cell>
          <cell r="R4493">
            <v>4.7390000000000002E-2</v>
          </cell>
          <cell r="S4493">
            <v>-2.4279999999999999E-2</v>
          </cell>
          <cell r="T4493">
            <v>-2.3390000000000001E-2</v>
          </cell>
          <cell r="U4493">
            <v>-3.3250000000000002E-2</v>
          </cell>
          <cell r="V4493">
            <v>-5.7299999999999999E-3</v>
          </cell>
          <cell r="W4493">
            <v>3.8980000000000001E-2</v>
          </cell>
          <cell r="Y4493">
            <v>8.7139999999999995E-2</v>
          </cell>
          <cell r="Z4493">
            <v>-9.1E-4</v>
          </cell>
          <cell r="AA4493">
            <v>-0.11695</v>
          </cell>
          <cell r="AB4493">
            <v>-0.33481</v>
          </cell>
          <cell r="AC4493">
            <v>-4.521E-2</v>
          </cell>
          <cell r="AD4493">
            <v>4.8320000000000002E-2</v>
          </cell>
          <cell r="AE4493">
            <v>3.5779999999999999E-2</v>
          </cell>
          <cell r="AF4493">
            <v>3.8300000000000001E-3</v>
          </cell>
          <cell r="AG4493">
            <v>-1.992E-2</v>
          </cell>
          <cell r="AH4493">
            <v>-2.496E-2</v>
          </cell>
          <cell r="AI4493">
            <v>1.66E-3</v>
          </cell>
          <cell r="AJ4493">
            <v>4.1029999999999997E-2</v>
          </cell>
          <cell r="AK4493">
            <v>8.8299999999999993E-3</v>
          </cell>
          <cell r="AL4493">
            <v>8.0000000000000002E-3</v>
          </cell>
          <cell r="AM4493">
            <v>-4.9059999999999999E-2</v>
          </cell>
          <cell r="AN4493">
            <v>-4.3720000000000002E-2</v>
          </cell>
          <cell r="AO4493">
            <v>3.1609999999999999E-2</v>
          </cell>
          <cell r="AP4493">
            <v>3.0179999999999998E-2</v>
          </cell>
        </row>
        <row r="4494">
          <cell r="D4494" t="str">
            <v>出雲崎町</v>
          </cell>
          <cell r="E4494" t="str">
            <v>2020→2025</v>
          </cell>
          <cell r="F4494">
            <v>2.3769999999999999E-2</v>
          </cell>
          <cell r="G4494">
            <v>-4.5449999999999997E-2</v>
          </cell>
          <cell r="H4494">
            <v>-0.12157</v>
          </cell>
          <cell r="I4494">
            <v>-0.36623</v>
          </cell>
          <cell r="J4494">
            <v>0.14349000000000001</v>
          </cell>
          <cell r="K4494">
            <v>5.9880000000000003E-2</v>
          </cell>
          <cell r="L4494">
            <v>3.9469999999999998E-2</v>
          </cell>
          <cell r="M4494">
            <v>1.66E-3</v>
          </cell>
          <cell r="N4494">
            <v>-2.8410000000000001E-2</v>
          </cell>
          <cell r="O4494">
            <v>-1.949E-2</v>
          </cell>
          <cell r="P4494">
            <v>1.9130000000000001E-2</v>
          </cell>
          <cell r="Q4494">
            <v>3.5799999999999998E-2</v>
          </cell>
          <cell r="R4494">
            <v>4.5589999999999999E-2</v>
          </cell>
          <cell r="S4494">
            <v>-2.5420000000000002E-2</v>
          </cell>
          <cell r="T4494">
            <v>-2.095E-2</v>
          </cell>
          <cell r="U4494">
            <v>-3.5889999999999998E-2</v>
          </cell>
          <cell r="V4494">
            <v>-1.0540000000000001E-2</v>
          </cell>
          <cell r="W4494">
            <v>2.7089999999999999E-2</v>
          </cell>
          <cell r="Y4494">
            <v>0.11768000000000001</v>
          </cell>
          <cell r="Z4494">
            <v>-7.9600000000000001E-3</v>
          </cell>
          <cell r="AA4494">
            <v>-0.11767</v>
          </cell>
          <cell r="AB4494">
            <v>-0.33534999999999998</v>
          </cell>
          <cell r="AC4494">
            <v>-4.9910000000000003E-2</v>
          </cell>
          <cell r="AD4494">
            <v>4.5319999999999999E-2</v>
          </cell>
          <cell r="AE4494">
            <v>3.739E-2</v>
          </cell>
          <cell r="AF4494">
            <v>-4.3499999999999997E-3</v>
          </cell>
          <cell r="AG4494">
            <v>-1.992E-2</v>
          </cell>
          <cell r="AH4494">
            <v>-2.496E-2</v>
          </cell>
          <cell r="AI4494">
            <v>1.42E-3</v>
          </cell>
          <cell r="AJ4494">
            <v>3.9879999999999999E-2</v>
          </cell>
          <cell r="AK4494">
            <v>9.6699999999999998E-3</v>
          </cell>
          <cell r="AL4494">
            <v>9.7999999999999997E-3</v>
          </cell>
          <cell r="AM4494">
            <v>-4.7449999999999999E-2</v>
          </cell>
          <cell r="AN4494">
            <v>-4.5319999999999999E-2</v>
          </cell>
          <cell r="AO4494">
            <v>2.375E-2</v>
          </cell>
          <cell r="AP4494">
            <v>1.9449999999999999E-2</v>
          </cell>
        </row>
        <row r="4495">
          <cell r="D4495" t="str">
            <v>出雲崎町</v>
          </cell>
          <cell r="E4495" t="str">
            <v>2025→2030</v>
          </cell>
          <cell r="F4495">
            <v>2.359E-2</v>
          </cell>
          <cell r="G4495">
            <v>-4.5449999999999997E-2</v>
          </cell>
          <cell r="H4495">
            <v>-0.12221</v>
          </cell>
          <cell r="I4495">
            <v>-0.36623</v>
          </cell>
          <cell r="J4495">
            <v>0.13561999999999999</v>
          </cell>
          <cell r="K4495">
            <v>4.9340000000000002E-2</v>
          </cell>
          <cell r="L4495">
            <v>6.2789999999999999E-2</v>
          </cell>
          <cell r="M4495">
            <v>-1.554E-2</v>
          </cell>
          <cell r="N4495">
            <v>-2.7439999999999999E-2</v>
          </cell>
          <cell r="O4495">
            <v>-1.8270000000000002E-2</v>
          </cell>
          <cell r="P4495">
            <v>1.8360000000000001E-2</v>
          </cell>
          <cell r="Q4495">
            <v>3.5139999999999998E-2</v>
          </cell>
          <cell r="R4495">
            <v>4.5319999999999999E-2</v>
          </cell>
          <cell r="S4495">
            <v>-2.5409999999999999E-2</v>
          </cell>
          <cell r="T4495">
            <v>-2.3820000000000001E-2</v>
          </cell>
          <cell r="U4495">
            <v>-3.0370000000000001E-2</v>
          </cell>
          <cell r="V4495">
            <v>-1.712E-2</v>
          </cell>
          <cell r="W4495">
            <v>1.67E-2</v>
          </cell>
          <cell r="Y4495">
            <v>0.11741</v>
          </cell>
          <cell r="Z4495">
            <v>3.9199999999999999E-3</v>
          </cell>
          <cell r="AA4495">
            <v>-0.11824999999999999</v>
          </cell>
          <cell r="AB4495">
            <v>-0.33621000000000001</v>
          </cell>
          <cell r="AC4495">
            <v>-5.3839999999999999E-2</v>
          </cell>
          <cell r="AD4495">
            <v>3.696E-2</v>
          </cell>
          <cell r="AE4495">
            <v>4.4650000000000002E-2</v>
          </cell>
          <cell r="AF4495">
            <v>-4.3099999999999996E-3</v>
          </cell>
          <cell r="AG4495">
            <v>-1.992E-2</v>
          </cell>
          <cell r="AH4495">
            <v>-2.4500000000000001E-2</v>
          </cell>
          <cell r="AI4495">
            <v>1.4400000000000001E-3</v>
          </cell>
          <cell r="AJ4495">
            <v>3.884E-2</v>
          </cell>
          <cell r="AK4495">
            <v>8.4899999999999993E-3</v>
          </cell>
          <cell r="AL4495">
            <v>1.2829999999999999E-2</v>
          </cell>
          <cell r="AM4495">
            <v>-4.8239999999999998E-2</v>
          </cell>
          <cell r="AN4495">
            <v>-4.224E-2</v>
          </cell>
          <cell r="AO4495">
            <v>1.4749999999999999E-2</v>
          </cell>
          <cell r="AP4495">
            <v>5.1700000000000001E-3</v>
          </cell>
        </row>
        <row r="4496">
          <cell r="D4496" t="str">
            <v>出雲崎町</v>
          </cell>
          <cell r="E4496" t="str">
            <v>2030→2035</v>
          </cell>
          <cell r="F4496">
            <v>2.2179999999999998E-2</v>
          </cell>
          <cell r="G4496">
            <v>-4.5449999999999997E-2</v>
          </cell>
          <cell r="H4496">
            <v>-0.12261</v>
          </cell>
          <cell r="I4496">
            <v>-0.36623</v>
          </cell>
          <cell r="J4496">
            <v>0.13328000000000001</v>
          </cell>
          <cell r="K4496">
            <v>4.0899999999999999E-2</v>
          </cell>
          <cell r="L4496">
            <v>5.8000000000000003E-2</v>
          </cell>
          <cell r="M4496">
            <v>7.7499999999999999E-3</v>
          </cell>
          <cell r="N4496">
            <v>-3.4720000000000001E-2</v>
          </cell>
          <cell r="O4496">
            <v>-1.8550000000000001E-2</v>
          </cell>
          <cell r="P4496">
            <v>2.0310000000000002E-2</v>
          </cell>
          <cell r="Q4496">
            <v>3.4070000000000003E-2</v>
          </cell>
          <cell r="R4496">
            <v>4.462E-2</v>
          </cell>
          <cell r="S4496">
            <v>-2.4670000000000001E-2</v>
          </cell>
          <cell r="T4496">
            <v>-2.3050000000000001E-2</v>
          </cell>
          <cell r="U4496">
            <v>-3.406E-2</v>
          </cell>
          <cell r="V4496">
            <v>-6.3E-3</v>
          </cell>
          <cell r="W4496">
            <v>1.0500000000000001E-2</v>
          </cell>
          <cell r="Y4496">
            <v>0.11532000000000001</v>
          </cell>
          <cell r="Z4496">
            <v>3.6700000000000001E-3</v>
          </cell>
          <cell r="AA4496">
            <v>-0.11835</v>
          </cell>
          <cell r="AB4496">
            <v>-0.33678000000000002</v>
          </cell>
          <cell r="AC4496">
            <v>-5.867E-2</v>
          </cell>
          <cell r="AD4496">
            <v>3.1189999999999999E-2</v>
          </cell>
          <cell r="AE4496">
            <v>4.9250000000000002E-2</v>
          </cell>
          <cell r="AF4496">
            <v>-1.7700000000000001E-3</v>
          </cell>
          <cell r="AG4496">
            <v>-1.992E-2</v>
          </cell>
          <cell r="AH4496">
            <v>-2.47E-2</v>
          </cell>
          <cell r="AI4496">
            <v>1.67E-3</v>
          </cell>
          <cell r="AJ4496">
            <v>3.8899999999999997E-2</v>
          </cell>
          <cell r="AK4496">
            <v>7.7999999999999996E-3</v>
          </cell>
          <cell r="AL4496">
            <v>1.0460000000000001E-2</v>
          </cell>
          <cell r="AM4496">
            <v>-4.8090000000000001E-2</v>
          </cell>
          <cell r="AN4496">
            <v>-4.4019999999999997E-2</v>
          </cell>
          <cell r="AO4496">
            <v>2.3449999999999999E-2</v>
          </cell>
          <cell r="AP4496">
            <v>-3.15E-3</v>
          </cell>
        </row>
        <row r="4497">
          <cell r="D4497" t="str">
            <v>出雲崎町</v>
          </cell>
          <cell r="E4497" t="str">
            <v>2035→2040</v>
          </cell>
          <cell r="F4497">
            <v>2.0809999999999999E-2</v>
          </cell>
          <cell r="G4497">
            <v>-4.5449999999999997E-2</v>
          </cell>
          <cell r="H4497">
            <v>-0.12306</v>
          </cell>
          <cell r="I4497">
            <v>-0.36623</v>
          </cell>
          <cell r="J4497">
            <v>0.12939000000000001</v>
          </cell>
          <cell r="K4497">
            <v>3.7400000000000003E-2</v>
          </cell>
          <cell r="L4497">
            <v>5.4190000000000002E-2</v>
          </cell>
          <cell r="M4497">
            <v>1.1690000000000001E-2</v>
          </cell>
          <cell r="N4497">
            <v>-2.7969999999999998E-2</v>
          </cell>
          <cell r="O4497">
            <v>-1.8630000000000001E-2</v>
          </cell>
          <cell r="P4497">
            <v>1.976E-2</v>
          </cell>
          <cell r="Q4497">
            <v>3.5830000000000001E-2</v>
          </cell>
          <cell r="R4497">
            <v>4.3529999999999999E-2</v>
          </cell>
          <cell r="S4497">
            <v>-2.4590000000000001E-2</v>
          </cell>
          <cell r="T4497">
            <v>-2.264E-2</v>
          </cell>
          <cell r="U4497">
            <v>-3.3169999999999998E-2</v>
          </cell>
          <cell r="V4497">
            <v>-8.0499999999999999E-3</v>
          </cell>
          <cell r="W4497">
            <v>2.0830000000000001E-2</v>
          </cell>
          <cell r="Y4497">
            <v>0.11325</v>
          </cell>
          <cell r="Z4497">
            <v>2.81E-3</v>
          </cell>
          <cell r="AA4497">
            <v>-0.11869</v>
          </cell>
          <cell r="AB4497">
            <v>-0.33709</v>
          </cell>
          <cell r="AC4497">
            <v>-6.216E-2</v>
          </cell>
          <cell r="AD4497">
            <v>2.46E-2</v>
          </cell>
          <cell r="AE4497">
            <v>4.5740000000000003E-2</v>
          </cell>
          <cell r="AF4497">
            <v>4.6000000000000001E-4</v>
          </cell>
          <cell r="AG4497">
            <v>-1.992E-2</v>
          </cell>
          <cell r="AH4497">
            <v>-2.4709999999999999E-2</v>
          </cell>
          <cell r="AI4497">
            <v>1.5399999999999999E-3</v>
          </cell>
          <cell r="AJ4497">
            <v>4.027E-2</v>
          </cell>
          <cell r="AK4497">
            <v>7.6600000000000001E-3</v>
          </cell>
          <cell r="AL4497">
            <v>9.9500000000000005E-3</v>
          </cell>
          <cell r="AM4497">
            <v>-4.8480000000000002E-2</v>
          </cell>
          <cell r="AN4497">
            <v>-4.3729999999999998E-2</v>
          </cell>
          <cell r="AO4497">
            <v>2.6360000000000001E-2</v>
          </cell>
          <cell r="AP4497">
            <v>5.4000000000000003E-3</v>
          </cell>
        </row>
        <row r="4498">
          <cell r="D4498" t="str">
            <v>出雲崎町</v>
          </cell>
          <cell r="E4498" t="str">
            <v>2040→2045</v>
          </cell>
          <cell r="F4498">
            <v>1.916E-2</v>
          </cell>
          <cell r="G4498">
            <v>-4.5449999999999997E-2</v>
          </cell>
          <cell r="H4498">
            <v>-0.12381</v>
          </cell>
          <cell r="I4498">
            <v>-0.36623</v>
          </cell>
          <cell r="J4498">
            <v>0.12737000000000001</v>
          </cell>
          <cell r="K4498">
            <v>3.3689999999999998E-2</v>
          </cell>
          <cell r="L4498">
            <v>5.2749999999999998E-2</v>
          </cell>
          <cell r="M4498">
            <v>8.7299999999999999E-3</v>
          </cell>
          <cell r="N4498">
            <v>-2.946E-2</v>
          </cell>
          <cell r="O4498">
            <v>-1.907E-2</v>
          </cell>
          <cell r="P4498">
            <v>1.9630000000000002E-2</v>
          </cell>
          <cell r="Q4498">
            <v>3.5589999999999997E-2</v>
          </cell>
          <cell r="R4498">
            <v>4.5220000000000003E-2</v>
          </cell>
          <cell r="S4498">
            <v>-2.529E-2</v>
          </cell>
          <cell r="T4498">
            <v>-2.2280000000000001E-2</v>
          </cell>
          <cell r="U4498">
            <v>-3.4029999999999998E-2</v>
          </cell>
          <cell r="V4498">
            <v>-8.3199999999999993E-3</v>
          </cell>
          <cell r="W4498">
            <v>2.7599999999999999E-3</v>
          </cell>
          <cell r="Y4498">
            <v>0.11076999999999999</v>
          </cell>
          <cell r="Z4498">
            <v>1.98E-3</v>
          </cell>
          <cell r="AA4498">
            <v>-0.11924999999999999</v>
          </cell>
          <cell r="AB4498">
            <v>-0.33756000000000003</v>
          </cell>
          <cell r="AC4498">
            <v>-6.3409999999999994E-2</v>
          </cell>
          <cell r="AD4498">
            <v>2.104E-2</v>
          </cell>
          <cell r="AE4498">
            <v>4.2180000000000002E-2</v>
          </cell>
          <cell r="AF4498">
            <v>-1.2999999999999999E-3</v>
          </cell>
          <cell r="AG4498">
            <v>-1.992E-2</v>
          </cell>
          <cell r="AH4498">
            <v>-2.495E-2</v>
          </cell>
          <cell r="AI4498">
            <v>1.56E-3</v>
          </cell>
          <cell r="AJ4498">
            <v>3.977E-2</v>
          </cell>
          <cell r="AK4498">
            <v>8.2799999999999992E-3</v>
          </cell>
          <cell r="AL4498">
            <v>9.7099999999999999E-3</v>
          </cell>
          <cell r="AM4498">
            <v>-4.8669999999999998E-2</v>
          </cell>
          <cell r="AN4498">
            <v>-4.4319999999999998E-2</v>
          </cell>
          <cell r="AO4498">
            <v>2.4109999999999999E-2</v>
          </cell>
          <cell r="AP4498">
            <v>-1.273E-2</v>
          </cell>
        </row>
        <row r="4499">
          <cell r="D4499" t="str">
            <v>湯沢町</v>
          </cell>
          <cell r="E4499" t="str">
            <v>2015→2020</v>
          </cell>
          <cell r="F4499">
            <v>-8.5580000000000003E-2</v>
          </cell>
          <cell r="G4499">
            <v>1.174E-2</v>
          </cell>
          <cell r="H4499">
            <v>-5.7880000000000001E-2</v>
          </cell>
          <cell r="I4499">
            <v>-0.26913999999999999</v>
          </cell>
          <cell r="J4499">
            <v>0.11872000000000001</v>
          </cell>
          <cell r="K4499">
            <v>-2.5520000000000001E-2</v>
          </cell>
          <cell r="L4499">
            <v>-1.0070000000000001E-2</v>
          </cell>
          <cell r="M4499">
            <v>3.5310000000000001E-2</v>
          </cell>
          <cell r="N4499">
            <v>-2.7570000000000001E-2</v>
          </cell>
          <cell r="O4499">
            <v>5.9659999999999998E-2</v>
          </cell>
          <cell r="P4499">
            <v>-1.078E-2</v>
          </cell>
          <cell r="Q4499">
            <v>4.9230000000000003E-2</v>
          </cell>
          <cell r="R4499">
            <v>5.0439999999999999E-2</v>
          </cell>
          <cell r="S4499">
            <v>-2.5300000000000001E-3</v>
          </cell>
          <cell r="T4499">
            <v>3.5900000000000001E-2</v>
          </cell>
          <cell r="U4499">
            <v>-1.0449999999999999E-2</v>
          </cell>
          <cell r="V4499">
            <v>6.0099999999999997E-3</v>
          </cell>
          <cell r="W4499">
            <v>-5.3839999999999999E-2</v>
          </cell>
          <cell r="Y4499">
            <v>-3.7740000000000003E-2</v>
          </cell>
          <cell r="Z4499">
            <v>-2.0000000000000002E-5</v>
          </cell>
          <cell r="AA4499">
            <v>-0.11396000000000001</v>
          </cell>
          <cell r="AB4499">
            <v>-0.23294999999999999</v>
          </cell>
          <cell r="AC4499">
            <v>6.7599999999999993E-2</v>
          </cell>
          <cell r="AD4499">
            <v>4.8640000000000003E-2</v>
          </cell>
          <cell r="AE4499">
            <v>-9.9680000000000005E-2</v>
          </cell>
          <cell r="AF4499">
            <v>4.3819999999999998E-2</v>
          </cell>
          <cell r="AG4499">
            <v>1.115E-2</v>
          </cell>
          <cell r="AH4499">
            <v>-3.2579999999999998E-2</v>
          </cell>
          <cell r="AI4499">
            <v>1.9009999999999999E-2</v>
          </cell>
          <cell r="AJ4499">
            <v>-1.82E-3</v>
          </cell>
          <cell r="AK4499">
            <v>2.213E-2</v>
          </cell>
          <cell r="AL4499">
            <v>1.738E-2</v>
          </cell>
          <cell r="AM4499">
            <v>4.3400000000000001E-3</v>
          </cell>
          <cell r="AN4499">
            <v>2.5239999999999999E-2</v>
          </cell>
          <cell r="AO4499">
            <v>-2.6089999999999999E-2</v>
          </cell>
          <cell r="AP4499">
            <v>2.7539999999999999E-2</v>
          </cell>
        </row>
        <row r="4500">
          <cell r="D4500" t="str">
            <v>湯沢町</v>
          </cell>
          <cell r="E4500" t="str">
            <v>2020→2025</v>
          </cell>
          <cell r="F4500">
            <v>-8.4409999999999999E-2</v>
          </cell>
          <cell r="G4500">
            <v>1.4460000000000001E-2</v>
          </cell>
          <cell r="H4500">
            <v>-5.7919999999999999E-2</v>
          </cell>
          <cell r="I4500">
            <v>-0.27039000000000002</v>
          </cell>
          <cell r="J4500">
            <v>0.15368999999999999</v>
          </cell>
          <cell r="K4500">
            <v>-2.3259999999999999E-2</v>
          </cell>
          <cell r="L4500">
            <v>-7.5700000000000003E-3</v>
          </cell>
          <cell r="M4500">
            <v>3.9669999999999997E-2</v>
          </cell>
          <cell r="N4500">
            <v>-2.298E-2</v>
          </cell>
          <cell r="O4500">
            <v>5.8810000000000001E-2</v>
          </cell>
          <cell r="P4500">
            <v>-9.3900000000000008E-3</v>
          </cell>
          <cell r="Q4500">
            <v>5.6370000000000003E-2</v>
          </cell>
          <cell r="R4500">
            <v>5.6590000000000001E-2</v>
          </cell>
          <cell r="S4500">
            <v>-8.5500000000000003E-3</v>
          </cell>
          <cell r="T4500">
            <v>3.9690000000000003E-2</v>
          </cell>
          <cell r="U4500">
            <v>-1.272E-2</v>
          </cell>
          <cell r="V4500">
            <v>4.5500000000000002E-3</v>
          </cell>
          <cell r="W4500">
            <v>-5.9119999999999999E-2</v>
          </cell>
          <cell r="Y4500">
            <v>-3.0530000000000002E-2</v>
          </cell>
          <cell r="Z4500">
            <v>2.66E-3</v>
          </cell>
          <cell r="AA4500">
            <v>-0.11397</v>
          </cell>
          <cell r="AB4500">
            <v>-0.23449999999999999</v>
          </cell>
          <cell r="AC4500">
            <v>0.13619000000000001</v>
          </cell>
          <cell r="AD4500">
            <v>1.866E-2</v>
          </cell>
          <cell r="AE4500">
            <v>-9.6509999999999999E-2</v>
          </cell>
          <cell r="AF4500">
            <v>4.8899999999999999E-2</v>
          </cell>
          <cell r="AG4500">
            <v>1.6369999999999999E-2</v>
          </cell>
          <cell r="AH4500">
            <v>-3.243E-2</v>
          </cell>
          <cell r="AI4500">
            <v>2.1530000000000001E-2</v>
          </cell>
          <cell r="AJ4500">
            <v>1.2999999999999999E-4</v>
          </cell>
          <cell r="AK4500">
            <v>0.03</v>
          </cell>
          <cell r="AL4500">
            <v>1.49E-2</v>
          </cell>
          <cell r="AM4500">
            <v>6.5700000000000003E-3</v>
          </cell>
          <cell r="AN4500">
            <v>2.384E-2</v>
          </cell>
          <cell r="AO4500">
            <v>-2.5270000000000001E-2</v>
          </cell>
          <cell r="AP4500">
            <v>2.18E-2</v>
          </cell>
        </row>
        <row r="4501">
          <cell r="D4501" t="str">
            <v>湯沢町</v>
          </cell>
          <cell r="E4501" t="str">
            <v>2025→2030</v>
          </cell>
          <cell r="F4501">
            <v>-8.3220000000000002E-2</v>
          </cell>
          <cell r="G4501">
            <v>1.5610000000000001E-2</v>
          </cell>
          <cell r="H4501">
            <v>-5.747E-2</v>
          </cell>
          <cell r="I4501">
            <v>-0.27017000000000002</v>
          </cell>
          <cell r="J4501">
            <v>0.15401000000000001</v>
          </cell>
          <cell r="K4501">
            <v>-2.0809999999999999E-2</v>
          </cell>
          <cell r="L4501">
            <v>-5.7499999999999999E-3</v>
          </cell>
          <cell r="M4501">
            <v>4.0460000000000003E-2</v>
          </cell>
          <cell r="N4501">
            <v>-2.1239999999999998E-2</v>
          </cell>
          <cell r="O4501">
            <v>6.5159999999999996E-2</v>
          </cell>
          <cell r="P4501">
            <v>-1.005E-2</v>
          </cell>
          <cell r="Q4501">
            <v>6.1109999999999998E-2</v>
          </cell>
          <cell r="R4501">
            <v>7.4069999999999997E-2</v>
          </cell>
          <cell r="S4501">
            <v>-6.4000000000000003E-3</v>
          </cell>
          <cell r="T4501">
            <v>2.9790000000000001E-2</v>
          </cell>
          <cell r="U4501">
            <v>-7.6699999999999997E-3</v>
          </cell>
          <cell r="V4501">
            <v>1.42E-3</v>
          </cell>
          <cell r="W4501">
            <v>-6.5579999999999999E-2</v>
          </cell>
          <cell r="Y4501">
            <v>-2.7570000000000001E-2</v>
          </cell>
          <cell r="Z4501">
            <v>3.64E-3</v>
          </cell>
          <cell r="AA4501">
            <v>-0.11287</v>
          </cell>
          <cell r="AB4501">
            <v>-0.23452000000000001</v>
          </cell>
          <cell r="AC4501">
            <v>0.14957999999999999</v>
          </cell>
          <cell r="AD4501">
            <v>4.589E-2</v>
          </cell>
          <cell r="AE4501">
            <v>-9.4310000000000005E-2</v>
          </cell>
          <cell r="AF4501">
            <v>5.2420000000000001E-2</v>
          </cell>
          <cell r="AG4501">
            <v>1.8429999999999998E-2</v>
          </cell>
          <cell r="AH4501">
            <v>-3.1419999999999997E-2</v>
          </cell>
          <cell r="AI4501">
            <v>2.205E-2</v>
          </cell>
          <cell r="AJ4501">
            <v>1.74E-3</v>
          </cell>
          <cell r="AK4501">
            <v>3.4479999999999997E-2</v>
          </cell>
          <cell r="AL4501">
            <v>2.0490000000000001E-2</v>
          </cell>
          <cell r="AM4501">
            <v>5.0299999999999997E-3</v>
          </cell>
          <cell r="AN4501">
            <v>2.7490000000000001E-2</v>
          </cell>
          <cell r="AO4501">
            <v>-2.7519999999999999E-2</v>
          </cell>
          <cell r="AP4501">
            <v>1.355E-2</v>
          </cell>
        </row>
        <row r="4502">
          <cell r="D4502" t="str">
            <v>湯沢町</v>
          </cell>
          <cell r="E4502" t="str">
            <v>2030→2035</v>
          </cell>
          <cell r="F4502">
            <v>-8.2290000000000002E-2</v>
          </cell>
          <cell r="G4502">
            <v>1.7049999999999999E-2</v>
          </cell>
          <cell r="H4502">
            <v>-5.7329999999999999E-2</v>
          </cell>
          <cell r="I4502">
            <v>-0.26866000000000001</v>
          </cell>
          <cell r="J4502">
            <v>0.16192999999999999</v>
          </cell>
          <cell r="K4502">
            <v>-2.1069999999999998E-2</v>
          </cell>
          <cell r="L4502">
            <v>-6.5399999999999998E-3</v>
          </cell>
          <cell r="M4502">
            <v>4.1759999999999999E-2</v>
          </cell>
          <cell r="N4502">
            <v>-2.0820000000000002E-2</v>
          </cell>
          <cell r="O4502">
            <v>6.8559999999999996E-2</v>
          </cell>
          <cell r="P4502">
            <v>-8.8299999999999993E-3</v>
          </cell>
          <cell r="Q4502">
            <v>5.8560000000000001E-2</v>
          </cell>
          <cell r="R4502">
            <v>7.7829999999999996E-2</v>
          </cell>
          <cell r="S4502">
            <v>7.2999999999999996E-4</v>
          </cell>
          <cell r="T4502">
            <v>3.3189999999999997E-2</v>
          </cell>
          <cell r="U4502">
            <v>-1.545E-2</v>
          </cell>
          <cell r="V4502">
            <v>8.6300000000000005E-3</v>
          </cell>
          <cell r="W4502">
            <v>-6.8049999999999999E-2</v>
          </cell>
          <cell r="Y4502">
            <v>-2.5239999999999999E-2</v>
          </cell>
          <cell r="Z4502">
            <v>4.9699999999999996E-3</v>
          </cell>
          <cell r="AA4502">
            <v>-0.11265</v>
          </cell>
          <cell r="AB4502">
            <v>-0.23316999999999999</v>
          </cell>
          <cell r="AC4502">
            <v>0.15595999999999999</v>
          </cell>
          <cell r="AD4502">
            <v>6.4490000000000006E-2</v>
          </cell>
          <cell r="AE4502">
            <v>-9.4560000000000005E-2</v>
          </cell>
          <cell r="AF4502">
            <v>5.5079999999999997E-2</v>
          </cell>
          <cell r="AG4502">
            <v>2.0080000000000001E-2</v>
          </cell>
          <cell r="AH4502">
            <v>-3.082E-2</v>
          </cell>
          <cell r="AI4502">
            <v>2.3720000000000001E-2</v>
          </cell>
          <cell r="AJ4502">
            <v>1.99E-3</v>
          </cell>
          <cell r="AK4502">
            <v>3.6679999999999997E-2</v>
          </cell>
          <cell r="AL4502">
            <v>2.043E-2</v>
          </cell>
          <cell r="AM4502">
            <v>7.11E-3</v>
          </cell>
          <cell r="AN4502">
            <v>2.6079999999999999E-2</v>
          </cell>
          <cell r="AO4502">
            <v>-2.1819999999999999E-2</v>
          </cell>
          <cell r="AP4502">
            <v>1.172E-2</v>
          </cell>
        </row>
        <row r="4503">
          <cell r="D4503" t="str">
            <v>湯沢町</v>
          </cell>
          <cell r="E4503" t="str">
            <v>2035→2040</v>
          </cell>
          <cell r="F4503">
            <v>-8.1479999999999997E-2</v>
          </cell>
          <cell r="G4503">
            <v>1.806E-2</v>
          </cell>
          <cell r="H4503">
            <v>-5.7149999999999999E-2</v>
          </cell>
          <cell r="I4503">
            <v>-0.26835999999999999</v>
          </cell>
          <cell r="J4503">
            <v>0.17050000000000001</v>
          </cell>
          <cell r="K4503">
            <v>-1.8180000000000002E-2</v>
          </cell>
          <cell r="L4503">
            <v>-7.0499999999999998E-3</v>
          </cell>
          <cell r="M4503">
            <v>4.0640000000000003E-2</v>
          </cell>
          <cell r="N4503">
            <v>-2.0199999999999999E-2</v>
          </cell>
          <cell r="O4503">
            <v>6.9760000000000003E-2</v>
          </cell>
          <cell r="P4503">
            <v>-8.0300000000000007E-3</v>
          </cell>
          <cell r="Q4503">
            <v>6.1559999999999997E-2</v>
          </cell>
          <cell r="R4503">
            <v>7.5730000000000006E-2</v>
          </cell>
          <cell r="S4503">
            <v>3.32E-3</v>
          </cell>
          <cell r="T4503">
            <v>4.206E-2</v>
          </cell>
          <cell r="U4503">
            <v>-1.2319999999999999E-2</v>
          </cell>
          <cell r="V4503">
            <v>1.7099999999999999E-3</v>
          </cell>
          <cell r="W4503">
            <v>-6.0089999999999998E-2</v>
          </cell>
          <cell r="Y4503">
            <v>-2.3279999999999999E-2</v>
          </cell>
          <cell r="Z4503">
            <v>5.8799999999999998E-3</v>
          </cell>
          <cell r="AA4503">
            <v>-0.11244999999999999</v>
          </cell>
          <cell r="AB4503">
            <v>-0.23307</v>
          </cell>
          <cell r="AC4503">
            <v>0.16363</v>
          </cell>
          <cell r="AD4503">
            <v>6.8729999999999999E-2</v>
          </cell>
          <cell r="AE4503">
            <v>-9.4829999999999998E-2</v>
          </cell>
          <cell r="AF4503">
            <v>5.4059999999999997E-2</v>
          </cell>
          <cell r="AG4503">
            <v>2.1319999999999999E-2</v>
          </cell>
          <cell r="AH4503">
            <v>-3.024E-2</v>
          </cell>
          <cell r="AI4503">
            <v>2.4899999999999999E-2</v>
          </cell>
          <cell r="AJ4503">
            <v>2.96E-3</v>
          </cell>
          <cell r="AK4503">
            <v>3.7089999999999998E-2</v>
          </cell>
          <cell r="AL4503">
            <v>2.12E-2</v>
          </cell>
          <cell r="AM4503">
            <v>7.3699999999999998E-3</v>
          </cell>
          <cell r="AN4503">
            <v>2.6720000000000001E-2</v>
          </cell>
          <cell r="AO4503">
            <v>-2.545E-2</v>
          </cell>
          <cell r="AP4503">
            <v>2.2509999999999999E-2</v>
          </cell>
        </row>
        <row r="4504">
          <cell r="D4504" t="str">
            <v>湯沢町</v>
          </cell>
          <cell r="E4504" t="str">
            <v>2040→2045</v>
          </cell>
          <cell r="F4504">
            <v>-8.0810000000000007E-2</v>
          </cell>
          <cell r="G4504">
            <v>1.8870000000000001E-2</v>
          </cell>
          <cell r="H4504">
            <v>-5.7270000000000001E-2</v>
          </cell>
          <cell r="I4504">
            <v>-0.26824999999999999</v>
          </cell>
          <cell r="J4504">
            <v>0.17507</v>
          </cell>
          <cell r="K4504">
            <v>-1.444E-2</v>
          </cell>
          <cell r="L4504">
            <v>-5.2300000000000003E-3</v>
          </cell>
          <cell r="M4504">
            <v>3.993E-2</v>
          </cell>
          <cell r="N4504">
            <v>-2.1069999999999998E-2</v>
          </cell>
          <cell r="O4504">
            <v>7.1709999999999996E-2</v>
          </cell>
          <cell r="P4504">
            <v>-7.7200000000000003E-3</v>
          </cell>
          <cell r="Q4504">
            <v>6.4140000000000003E-2</v>
          </cell>
          <cell r="R4504">
            <v>7.9219999999999999E-2</v>
          </cell>
          <cell r="S4504">
            <v>2.0899999999999998E-3</v>
          </cell>
          <cell r="T4504">
            <v>4.3290000000000002E-2</v>
          </cell>
          <cell r="U4504">
            <v>-8.8400000000000006E-3</v>
          </cell>
          <cell r="V4504">
            <v>4.4600000000000004E-3</v>
          </cell>
          <cell r="W4504">
            <v>-7.8719999999999998E-2</v>
          </cell>
          <cell r="Y4504">
            <v>-2.1649999999999999E-2</v>
          </cell>
          <cell r="Z4504">
            <v>6.6E-3</v>
          </cell>
          <cell r="AA4504">
            <v>-0.11316</v>
          </cell>
          <cell r="AB4504">
            <v>-0.23330000000000001</v>
          </cell>
          <cell r="AC4504">
            <v>0.16747999999999999</v>
          </cell>
          <cell r="AD4504">
            <v>7.4749999999999997E-2</v>
          </cell>
          <cell r="AE4504">
            <v>-9.3479999999999994E-2</v>
          </cell>
          <cell r="AF4504">
            <v>5.3350000000000002E-2</v>
          </cell>
          <cell r="AG4504">
            <v>2.061E-2</v>
          </cell>
          <cell r="AH4504">
            <v>-2.964E-2</v>
          </cell>
          <cell r="AI4504">
            <v>2.6370000000000001E-2</v>
          </cell>
          <cell r="AJ4504">
            <v>3.7599999999999999E-3</v>
          </cell>
          <cell r="AK4504">
            <v>3.9780000000000003E-2</v>
          </cell>
          <cell r="AL4504">
            <v>2.138E-2</v>
          </cell>
          <cell r="AM4504">
            <v>8.2500000000000004E-3</v>
          </cell>
          <cell r="AN4504">
            <v>2.7810000000000001E-2</v>
          </cell>
          <cell r="AO4504">
            <v>-2.3990000000000001E-2</v>
          </cell>
          <cell r="AP4504">
            <v>7.5000000000000002E-4</v>
          </cell>
        </row>
        <row r="4505">
          <cell r="D4505" t="str">
            <v>津南町</v>
          </cell>
          <cell r="E4505" t="str">
            <v>2015→2020</v>
          </cell>
          <cell r="F4505">
            <v>4.5039999999999997E-2</v>
          </cell>
          <cell r="G4505">
            <v>-9.4599999999999997E-3</v>
          </cell>
          <cell r="H4505">
            <v>-0.17235</v>
          </cell>
          <cell r="I4505">
            <v>-0.43880999999999998</v>
          </cell>
          <cell r="J4505">
            <v>0.28739999999999999</v>
          </cell>
          <cell r="K4505">
            <v>2.7609999999999999E-2</v>
          </cell>
          <cell r="L4505">
            <v>-1.0499999999999999E-3</v>
          </cell>
          <cell r="M4505">
            <v>-3.4819999999999997E-2</v>
          </cell>
          <cell r="N4505">
            <v>-4.4319999999999998E-2</v>
          </cell>
          <cell r="O4505">
            <v>2.0699999999999998E-3</v>
          </cell>
          <cell r="P4505">
            <v>4.7800000000000004E-3</v>
          </cell>
          <cell r="Q4505">
            <v>-6.6299999999999996E-3</v>
          </cell>
          <cell r="R4505">
            <v>-6.94E-3</v>
          </cell>
          <cell r="S4505">
            <v>1.5869999999999999E-2</v>
          </cell>
          <cell r="T4505">
            <v>-1.017E-2</v>
          </cell>
          <cell r="U4505">
            <v>2.01E-2</v>
          </cell>
          <cell r="V4505">
            <v>3.4709999999999998E-2</v>
          </cell>
          <cell r="W4505">
            <v>0.10792</v>
          </cell>
          <cell r="Y4505">
            <v>-4.4850000000000001E-2</v>
          </cell>
          <cell r="Z4505">
            <v>1.1129999999999999E-2</v>
          </cell>
          <cell r="AA4505">
            <v>-0.29888999999999999</v>
          </cell>
          <cell r="AB4505">
            <v>-0.45846999999999999</v>
          </cell>
          <cell r="AC4505">
            <v>0.47593999999999997</v>
          </cell>
          <cell r="AD4505">
            <v>6.3969999999999999E-2</v>
          </cell>
          <cell r="AE4505">
            <v>4.8500000000000001E-3</v>
          </cell>
          <cell r="AF4505">
            <v>-3.9E-2</v>
          </cell>
          <cell r="AG4505">
            <v>-2.7199999999999998E-2</v>
          </cell>
          <cell r="AH4505">
            <v>-7.5500000000000003E-3</v>
          </cell>
          <cell r="AI4505">
            <v>6.7400000000000003E-3</v>
          </cell>
          <cell r="AJ4505">
            <v>-5.5700000000000003E-3</v>
          </cell>
          <cell r="AK4505">
            <v>5.8500000000000002E-3</v>
          </cell>
          <cell r="AL4505">
            <v>-1.5769999999999999E-2</v>
          </cell>
          <cell r="AM4505">
            <v>-1.128E-2</v>
          </cell>
          <cell r="AN4505">
            <v>9.3000000000000005E-4</v>
          </cell>
          <cell r="AO4505">
            <v>2.7310000000000001E-2</v>
          </cell>
          <cell r="AP4505">
            <v>0.11967999999999999</v>
          </cell>
        </row>
        <row r="4506">
          <cell r="D4506" t="str">
            <v>津南町</v>
          </cell>
          <cell r="E4506" t="str">
            <v>2020→2025</v>
          </cell>
          <cell r="F4506">
            <v>4.9669999999999999E-2</v>
          </cell>
          <cell r="G4506">
            <v>-8.7100000000000007E-3</v>
          </cell>
          <cell r="H4506">
            <v>-0.17244999999999999</v>
          </cell>
          <cell r="I4506">
            <v>-0.43914999999999998</v>
          </cell>
          <cell r="J4506">
            <v>0.29287000000000002</v>
          </cell>
          <cell r="K4506">
            <v>4.8529999999999997E-2</v>
          </cell>
          <cell r="L4506">
            <v>-7.9699999999999997E-3</v>
          </cell>
          <cell r="M4506">
            <v>-3.671E-2</v>
          </cell>
          <cell r="N4506">
            <v>-4.4240000000000002E-2</v>
          </cell>
          <cell r="O4506">
            <v>1.9400000000000001E-3</v>
          </cell>
          <cell r="P4506">
            <v>6.1799999999999997E-3</v>
          </cell>
          <cell r="Q4506">
            <v>-6.28E-3</v>
          </cell>
          <cell r="R4506">
            <v>-5.8399999999999997E-3</v>
          </cell>
          <cell r="S4506">
            <v>6.3800000000000003E-3</v>
          </cell>
          <cell r="T4506">
            <v>-7.6499999999999997E-3</v>
          </cell>
          <cell r="U4506">
            <v>1.7829999999999999E-2</v>
          </cell>
          <cell r="V4506">
            <v>3.329E-2</v>
          </cell>
          <cell r="W4506">
            <v>0.10014000000000001</v>
          </cell>
          <cell r="Y4506">
            <v>-3.6790000000000003E-2</v>
          </cell>
          <cell r="Z4506">
            <v>1.1979999999999999E-2</v>
          </cell>
          <cell r="AA4506">
            <v>-0.29888999999999999</v>
          </cell>
          <cell r="AB4506">
            <v>-0.45902999999999999</v>
          </cell>
          <cell r="AC4506">
            <v>0.47870000000000001</v>
          </cell>
          <cell r="AD4506">
            <v>8.2600000000000007E-2</v>
          </cell>
          <cell r="AE4506">
            <v>-4.4600000000000004E-3</v>
          </cell>
          <cell r="AF4506">
            <v>-3.9170000000000003E-2</v>
          </cell>
          <cell r="AG4506">
            <v>-2.6040000000000001E-2</v>
          </cell>
          <cell r="AH4506">
            <v>-7.3200000000000001E-3</v>
          </cell>
          <cell r="AI4506">
            <v>7.5599999999999999E-3</v>
          </cell>
          <cell r="AJ4506">
            <v>-4.2900000000000004E-3</v>
          </cell>
          <cell r="AK4506">
            <v>4.0600000000000002E-3</v>
          </cell>
          <cell r="AL4506">
            <v>-1.6590000000000001E-2</v>
          </cell>
          <cell r="AM4506">
            <v>-9.8300000000000002E-3</v>
          </cell>
          <cell r="AN4506">
            <v>4.0000000000000003E-5</v>
          </cell>
          <cell r="AO4506">
            <v>2.716E-2</v>
          </cell>
          <cell r="AP4506">
            <v>0.11138000000000001</v>
          </cell>
        </row>
        <row r="4507">
          <cell r="D4507" t="str">
            <v>津南町</v>
          </cell>
          <cell r="E4507" t="str">
            <v>2025→2030</v>
          </cell>
          <cell r="F4507">
            <v>5.1189999999999999E-2</v>
          </cell>
          <cell r="G4507">
            <v>-8.3700000000000007E-3</v>
          </cell>
          <cell r="H4507">
            <v>-0.17244000000000001</v>
          </cell>
          <cell r="I4507">
            <v>-0.43944</v>
          </cell>
          <cell r="J4507">
            <v>0.29410999999999998</v>
          </cell>
          <cell r="K4507">
            <v>4.888E-2</v>
          </cell>
          <cell r="L4507">
            <v>4.3600000000000002E-3</v>
          </cell>
          <cell r="M4507">
            <v>-3.8870000000000002E-2</v>
          </cell>
          <cell r="N4507">
            <v>-4.4229999999999998E-2</v>
          </cell>
          <cell r="O4507">
            <v>3.16E-3</v>
          </cell>
          <cell r="P4507">
            <v>5.62E-3</v>
          </cell>
          <cell r="Q4507">
            <v>-5.9699999999999996E-3</v>
          </cell>
          <cell r="R4507">
            <v>4.1900000000000001E-3</v>
          </cell>
          <cell r="S4507">
            <v>7.45E-3</v>
          </cell>
          <cell r="T4507">
            <v>-1.061E-2</v>
          </cell>
          <cell r="U4507">
            <v>2.2849999999999999E-2</v>
          </cell>
          <cell r="V4507">
            <v>2.9819999999999999E-2</v>
          </cell>
          <cell r="W4507">
            <v>9.1880000000000003E-2</v>
          </cell>
          <cell r="Y4507">
            <v>-3.5479999999999998E-2</v>
          </cell>
          <cell r="Z4507">
            <v>1.235E-2</v>
          </cell>
          <cell r="AA4507">
            <v>-0.29888999999999999</v>
          </cell>
          <cell r="AB4507">
            <v>-0.45929999999999999</v>
          </cell>
          <cell r="AC4507">
            <v>0.47986000000000001</v>
          </cell>
          <cell r="AD4507">
            <v>9.962E-2</v>
          </cell>
          <cell r="AE4507">
            <v>2.47E-3</v>
          </cell>
          <cell r="AF4507">
            <v>-4.0960000000000003E-2</v>
          </cell>
          <cell r="AG4507">
            <v>-2.5770000000000001E-2</v>
          </cell>
          <cell r="AH4507">
            <v>-6.6100000000000004E-3</v>
          </cell>
          <cell r="AI4507">
            <v>7.7799999999999996E-3</v>
          </cell>
          <cell r="AJ4507">
            <v>-3.8500000000000001E-3</v>
          </cell>
          <cell r="AK4507">
            <v>1.5100000000000001E-2</v>
          </cell>
          <cell r="AL4507">
            <v>-1.6369999999999999E-2</v>
          </cell>
          <cell r="AM4507">
            <v>-1.1299999999999999E-2</v>
          </cell>
          <cell r="AN4507">
            <v>3.14E-3</v>
          </cell>
          <cell r="AO4507">
            <v>2.5090000000000001E-2</v>
          </cell>
          <cell r="AP4507">
            <v>0.10117</v>
          </cell>
        </row>
        <row r="4508">
          <cell r="D4508" t="str">
            <v>津南町</v>
          </cell>
          <cell r="E4508" t="str">
            <v>2030→2035</v>
          </cell>
          <cell r="F4508">
            <v>5.2339999999999998E-2</v>
          </cell>
          <cell r="G4508">
            <v>-7.9299999999999995E-3</v>
          </cell>
          <cell r="H4508">
            <v>-0.17243</v>
          </cell>
          <cell r="I4508">
            <v>-0.4395</v>
          </cell>
          <cell r="J4508">
            <v>0.30059000000000002</v>
          </cell>
          <cell r="K4508">
            <v>4.8800000000000003E-2</v>
          </cell>
          <cell r="L4508">
            <v>2.018E-2</v>
          </cell>
          <cell r="M4508">
            <v>-3.5790000000000002E-2</v>
          </cell>
          <cell r="N4508">
            <v>-4.4220000000000002E-2</v>
          </cell>
          <cell r="O4508">
            <v>3.3899999999999998E-3</v>
          </cell>
          <cell r="P4508">
            <v>6.4200000000000004E-3</v>
          </cell>
          <cell r="Q4508">
            <v>-6.1199999999999996E-3</v>
          </cell>
          <cell r="R4508">
            <v>5.64E-3</v>
          </cell>
          <cell r="S4508">
            <v>1.5689999999999999E-2</v>
          </cell>
          <cell r="T4508">
            <v>-9.8200000000000006E-3</v>
          </cell>
          <cell r="U4508">
            <v>1.8020000000000001E-2</v>
          </cell>
          <cell r="V4508">
            <v>3.7150000000000002E-2</v>
          </cell>
          <cell r="W4508">
            <v>8.7929999999999994E-2</v>
          </cell>
          <cell r="Y4508">
            <v>-3.449E-2</v>
          </cell>
          <cell r="Z4508">
            <v>1.2840000000000001E-2</v>
          </cell>
          <cell r="AA4508">
            <v>-0.29888999999999999</v>
          </cell>
          <cell r="AB4508">
            <v>-0.45957999999999999</v>
          </cell>
          <cell r="AC4508">
            <v>0.48770000000000002</v>
          </cell>
          <cell r="AD4508">
            <v>9.9400000000000002E-2</v>
          </cell>
          <cell r="AE4508">
            <v>1.485E-2</v>
          </cell>
          <cell r="AF4508">
            <v>-3.9919999999999997E-2</v>
          </cell>
          <cell r="AG4508">
            <v>-2.5399999999999999E-2</v>
          </cell>
          <cell r="AH4508">
            <v>-6.3600000000000002E-3</v>
          </cell>
          <cell r="AI4508">
            <v>8.1499999999999993E-3</v>
          </cell>
          <cell r="AJ4508">
            <v>-3.7499999999999999E-3</v>
          </cell>
          <cell r="AK4508">
            <v>1.6369999999999999E-2</v>
          </cell>
          <cell r="AL4508">
            <v>-1.6219999999999998E-2</v>
          </cell>
          <cell r="AM4508">
            <v>-1.107E-2</v>
          </cell>
          <cell r="AN4508">
            <v>4.6999999999999999E-4</v>
          </cell>
          <cell r="AO4508">
            <v>3.092E-2</v>
          </cell>
          <cell r="AP4508">
            <v>9.8750000000000004E-2</v>
          </cell>
        </row>
        <row r="4509">
          <cell r="D4509" t="str">
            <v>津南町</v>
          </cell>
          <cell r="E4509" t="str">
            <v>2035→2040</v>
          </cell>
          <cell r="F4509">
            <v>5.3409999999999999E-2</v>
          </cell>
          <cell r="G4509">
            <v>-7.6499999999999997E-3</v>
          </cell>
          <cell r="H4509">
            <v>-0.17241999999999999</v>
          </cell>
          <cell r="I4509">
            <v>-0.43957000000000002</v>
          </cell>
          <cell r="J4509">
            <v>0.30608000000000002</v>
          </cell>
          <cell r="K4509">
            <v>5.0560000000000001E-2</v>
          </cell>
          <cell r="L4509">
            <v>2.5090000000000001E-2</v>
          </cell>
          <cell r="M4509">
            <v>-3.3959999999999997E-2</v>
          </cell>
          <cell r="N4509">
            <v>-4.4200000000000003E-2</v>
          </cell>
          <cell r="O4509">
            <v>3.6800000000000001E-3</v>
          </cell>
          <cell r="P4509">
            <v>6.6100000000000004E-3</v>
          </cell>
          <cell r="Q4509">
            <v>-5.9899999999999997E-3</v>
          </cell>
          <cell r="R4509">
            <v>4.6600000000000001E-3</v>
          </cell>
          <cell r="S4509">
            <v>1.661E-2</v>
          </cell>
          <cell r="T4509">
            <v>-9.4000000000000004E-3</v>
          </cell>
          <cell r="U4509">
            <v>1.933E-2</v>
          </cell>
          <cell r="V4509">
            <v>2.9829999999999999E-2</v>
          </cell>
          <cell r="W4509">
            <v>9.9510000000000001E-2</v>
          </cell>
          <cell r="Y4509">
            <v>-3.3590000000000002E-2</v>
          </cell>
          <cell r="Z4509">
            <v>1.315E-2</v>
          </cell>
          <cell r="AA4509">
            <v>-0.29888999999999999</v>
          </cell>
          <cell r="AB4509">
            <v>-0.45972000000000002</v>
          </cell>
          <cell r="AC4509">
            <v>0.49310999999999999</v>
          </cell>
          <cell r="AD4509">
            <v>0.1021</v>
          </cell>
          <cell r="AE4509">
            <v>1.438E-2</v>
          </cell>
          <cell r="AF4509">
            <v>-3.687E-2</v>
          </cell>
          <cell r="AG4509">
            <v>-2.5090000000000001E-2</v>
          </cell>
          <cell r="AH4509">
            <v>-5.8700000000000002E-3</v>
          </cell>
          <cell r="AI4509">
            <v>8.3300000000000006E-3</v>
          </cell>
          <cell r="AJ4509">
            <v>-3.5599999999999998E-3</v>
          </cell>
          <cell r="AK4509">
            <v>1.6480000000000002E-2</v>
          </cell>
          <cell r="AL4509">
            <v>-1.6109999999999999E-2</v>
          </cell>
          <cell r="AM4509">
            <v>-1.0710000000000001E-2</v>
          </cell>
          <cell r="AN4509">
            <v>7.2999999999999996E-4</v>
          </cell>
          <cell r="AO4509">
            <v>2.5839999999999998E-2</v>
          </cell>
          <cell r="AP4509">
            <v>0.11098</v>
          </cell>
        </row>
        <row r="4510">
          <cell r="D4510" t="str">
            <v>津南町</v>
          </cell>
          <cell r="E4510" t="str">
            <v>2040→2045</v>
          </cell>
          <cell r="F4510">
            <v>5.4280000000000002E-2</v>
          </cell>
          <cell r="G4510">
            <v>-7.3899999999999999E-3</v>
          </cell>
          <cell r="H4510">
            <v>-0.17252000000000001</v>
          </cell>
          <cell r="I4510">
            <v>-0.43974000000000002</v>
          </cell>
          <cell r="J4510">
            <v>0.30969000000000002</v>
          </cell>
          <cell r="K4510">
            <v>5.246E-2</v>
          </cell>
          <cell r="L4510">
            <v>2.6329999999999999E-2</v>
          </cell>
          <cell r="M4510">
            <v>-3.4139999999999997E-2</v>
          </cell>
          <cell r="N4510">
            <v>-4.4220000000000002E-2</v>
          </cell>
          <cell r="O4510">
            <v>4.1700000000000001E-3</v>
          </cell>
          <cell r="P4510">
            <v>6.8799999999999998E-3</v>
          </cell>
          <cell r="Q4510">
            <v>-5.9199999999999999E-3</v>
          </cell>
          <cell r="R4510">
            <v>5.4099999999999999E-3</v>
          </cell>
          <cell r="S4510">
            <v>1.545E-2</v>
          </cell>
          <cell r="T4510">
            <v>-9.0200000000000002E-3</v>
          </cell>
          <cell r="U4510">
            <v>2.01E-2</v>
          </cell>
          <cell r="V4510">
            <v>3.1890000000000002E-2</v>
          </cell>
          <cell r="W4510">
            <v>7.3130000000000001E-2</v>
          </cell>
          <cell r="Y4510">
            <v>-3.2870000000000003E-2</v>
          </cell>
          <cell r="Z4510">
            <v>1.3429999999999999E-2</v>
          </cell>
          <cell r="AA4510">
            <v>-0.29888999999999999</v>
          </cell>
          <cell r="AB4510">
            <v>-0.46006999999999998</v>
          </cell>
          <cell r="AC4510">
            <v>0.49764999999999998</v>
          </cell>
          <cell r="AD4510">
            <v>0.1048</v>
          </cell>
          <cell r="AE4510">
            <v>1.5869999999999999E-2</v>
          </cell>
          <cell r="AF4510">
            <v>-3.6760000000000001E-2</v>
          </cell>
          <cell r="AG4510">
            <v>-2.5260000000000001E-2</v>
          </cell>
          <cell r="AH4510">
            <v>-5.3200000000000001E-3</v>
          </cell>
          <cell r="AI4510">
            <v>8.7799999999999996E-3</v>
          </cell>
          <cell r="AJ4510">
            <v>-3.4399999999999999E-3</v>
          </cell>
          <cell r="AK4510">
            <v>1.7229999999999999E-2</v>
          </cell>
          <cell r="AL4510">
            <v>-1.6400000000000001E-2</v>
          </cell>
          <cell r="AM4510">
            <v>-1.0410000000000001E-2</v>
          </cell>
          <cell r="AN4510">
            <v>1.2800000000000001E-3</v>
          </cell>
          <cell r="AO4510">
            <v>2.6339999999999999E-2</v>
          </cell>
          <cell r="AP4510">
            <v>8.5370000000000001E-2</v>
          </cell>
        </row>
        <row r="4511">
          <cell r="D4511" t="str">
            <v>刈羽村</v>
          </cell>
          <cell r="E4511" t="str">
            <v>2015→2020</v>
          </cell>
          <cell r="F4511">
            <v>9.8229999999999998E-2</v>
          </cell>
          <cell r="G4511">
            <v>1.602E-2</v>
          </cell>
          <cell r="H4511">
            <v>-7.5009999999999993E-2</v>
          </cell>
          <cell r="I4511">
            <v>-0.13814000000000001</v>
          </cell>
          <cell r="J4511">
            <v>0.19447999999999999</v>
          </cell>
          <cell r="K4511">
            <v>4.1730000000000003E-2</v>
          </cell>
          <cell r="L4511">
            <v>3.4380000000000001E-2</v>
          </cell>
          <cell r="M4511">
            <v>2.6550000000000001E-2</v>
          </cell>
          <cell r="N4511">
            <v>2.7269999999999999E-2</v>
          </cell>
          <cell r="O4511">
            <v>1.7160000000000002E-2</v>
          </cell>
          <cell r="P4511">
            <v>3.82E-3</v>
          </cell>
          <cell r="Q4511">
            <v>-2.3120000000000002E-2</v>
          </cell>
          <cell r="R4511">
            <v>-1.282E-2</v>
          </cell>
          <cell r="S4511">
            <v>-1.4930000000000001E-2</v>
          </cell>
          <cell r="T4511">
            <v>-1.4880000000000001E-2</v>
          </cell>
          <cell r="U4511">
            <v>-4.7379999999999999E-2</v>
          </cell>
          <cell r="V4511">
            <v>-4.2509999999999999E-2</v>
          </cell>
          <cell r="W4511">
            <v>3.8620000000000002E-2</v>
          </cell>
          <cell r="Y4511">
            <v>8.4449999999999997E-2</v>
          </cell>
          <cell r="Z4511">
            <v>1.5740000000000001E-2</v>
          </cell>
          <cell r="AA4511">
            <v>-7.2870000000000004E-2</v>
          </cell>
          <cell r="AB4511">
            <v>-0.29143999999999998</v>
          </cell>
          <cell r="AC4511">
            <v>0.36810999999999999</v>
          </cell>
          <cell r="AD4511">
            <v>0.16427</v>
          </cell>
          <cell r="AE4511">
            <v>2.1270000000000001E-2</v>
          </cell>
          <cell r="AF4511">
            <v>5.6390000000000003E-2</v>
          </cell>
          <cell r="AG4511">
            <v>4.3900000000000002E-2</v>
          </cell>
          <cell r="AH4511">
            <v>6.9499999999999996E-3</v>
          </cell>
          <cell r="AI4511">
            <v>-8.6499999999999997E-3</v>
          </cell>
          <cell r="AJ4511">
            <v>4.6499999999999996E-3</v>
          </cell>
          <cell r="AK4511">
            <v>-2.462E-2</v>
          </cell>
          <cell r="AL4511">
            <v>-5.3839999999999999E-2</v>
          </cell>
          <cell r="AM4511">
            <v>-7.2459999999999997E-2</v>
          </cell>
          <cell r="AN4511">
            <v>-7.0699999999999999E-2</v>
          </cell>
          <cell r="AO4511">
            <v>-0.11434</v>
          </cell>
          <cell r="AP4511">
            <v>-1.9990000000000001E-2</v>
          </cell>
        </row>
        <row r="4512">
          <cell r="D4512" t="str">
            <v>刈羽村</v>
          </cell>
          <cell r="E4512" t="str">
            <v>2020→2025</v>
          </cell>
          <cell r="F4512">
            <v>9.7780000000000006E-2</v>
          </cell>
          <cell r="G4512">
            <v>3.5699999999999998E-3</v>
          </cell>
          <cell r="H4512">
            <v>-8.1059999999999993E-2</v>
          </cell>
          <cell r="I4512">
            <v>-0.15049000000000001</v>
          </cell>
          <cell r="J4512">
            <v>0.16528000000000001</v>
          </cell>
          <cell r="K4512">
            <v>6.8519999999999998E-2</v>
          </cell>
          <cell r="L4512">
            <v>1.8319999999999999E-2</v>
          </cell>
          <cell r="M4512">
            <v>1.5140000000000001E-2</v>
          </cell>
          <cell r="N4512">
            <v>1.873E-2</v>
          </cell>
          <cell r="O4512">
            <v>1.6219999999999998E-2</v>
          </cell>
          <cell r="P4512">
            <v>2.0000000000000001E-4</v>
          </cell>
          <cell r="Q4512">
            <v>-2.4490000000000001E-2</v>
          </cell>
          <cell r="R4512">
            <v>-1.187E-2</v>
          </cell>
          <cell r="S4512">
            <v>-1.6049999999999998E-2</v>
          </cell>
          <cell r="T4512">
            <v>-1.285E-2</v>
          </cell>
          <cell r="U4512">
            <v>-4.895E-2</v>
          </cell>
          <cell r="V4512">
            <v>-4.582E-2</v>
          </cell>
          <cell r="W4512">
            <v>2.6499999999999999E-2</v>
          </cell>
          <cell r="Y4512">
            <v>6.4170000000000005E-2</v>
          </cell>
          <cell r="Z4512">
            <v>1.3599999999999999E-2</v>
          </cell>
          <cell r="AA4512">
            <v>-8.4820000000000007E-2</v>
          </cell>
          <cell r="AB4512">
            <v>-0.29519000000000001</v>
          </cell>
          <cell r="AC4512">
            <v>0.40651999999999999</v>
          </cell>
          <cell r="AD4512">
            <v>0.1351</v>
          </cell>
          <cell r="AE4512">
            <v>1.703E-2</v>
          </cell>
          <cell r="AF4512">
            <v>4.8579999999999998E-2</v>
          </cell>
          <cell r="AG4512">
            <v>3.313E-2</v>
          </cell>
          <cell r="AH4512">
            <v>5.6299999999999996E-3</v>
          </cell>
          <cell r="AI4512">
            <v>-1.1520000000000001E-2</v>
          </cell>
          <cell r="AJ4512">
            <v>2.6700000000000001E-3</v>
          </cell>
          <cell r="AK4512">
            <v>-2.4500000000000001E-2</v>
          </cell>
          <cell r="AL4512">
            <v>-5.4629999999999998E-2</v>
          </cell>
          <cell r="AM4512">
            <v>-7.1239999999999998E-2</v>
          </cell>
          <cell r="AN4512">
            <v>-7.1709999999999996E-2</v>
          </cell>
          <cell r="AO4512">
            <v>-0.11867999999999999</v>
          </cell>
          <cell r="AP4512">
            <v>-2.8840000000000001E-2</v>
          </cell>
        </row>
        <row r="4513">
          <cell r="D4513" t="str">
            <v>刈羽村</v>
          </cell>
          <cell r="E4513" t="str">
            <v>2025→2030</v>
          </cell>
          <cell r="F4513">
            <v>8.7029999999999996E-2</v>
          </cell>
          <cell r="G4513">
            <v>3.1199999999999999E-3</v>
          </cell>
          <cell r="H4513">
            <v>-9.7460000000000005E-2</v>
          </cell>
          <cell r="I4513">
            <v>-0.16227</v>
          </cell>
          <cell r="J4513">
            <v>0.15081</v>
          </cell>
          <cell r="K4513">
            <v>4.5039999999999997E-2</v>
          </cell>
          <cell r="L4513">
            <v>4.6519999999999999E-2</v>
          </cell>
          <cell r="M4513">
            <v>8.3000000000000001E-3</v>
          </cell>
          <cell r="N4513">
            <v>7.6E-3</v>
          </cell>
          <cell r="O4513">
            <v>1.9220000000000001E-2</v>
          </cell>
          <cell r="P4513">
            <v>-8.8000000000000003E-4</v>
          </cell>
          <cell r="Q4513">
            <v>-2.597E-2</v>
          </cell>
          <cell r="R4513">
            <v>-1.272E-2</v>
          </cell>
          <cell r="S4513">
            <v>-1.533E-2</v>
          </cell>
          <cell r="T4513">
            <v>-1.41E-2</v>
          </cell>
          <cell r="U4513">
            <v>-4.4659999999999998E-2</v>
          </cell>
          <cell r="V4513">
            <v>-5.1130000000000002E-2</v>
          </cell>
          <cell r="W4513">
            <v>1.274E-2</v>
          </cell>
          <cell r="Y4513">
            <v>5.5079999999999997E-2</v>
          </cell>
          <cell r="Z4513">
            <v>4.7099999999999998E-3</v>
          </cell>
          <cell r="AA4513">
            <v>-8.8480000000000003E-2</v>
          </cell>
          <cell r="AB4513">
            <v>-0.30731000000000003</v>
          </cell>
          <cell r="AC4513">
            <v>0.34755000000000003</v>
          </cell>
          <cell r="AD4513">
            <v>0.15013000000000001</v>
          </cell>
          <cell r="AE4513">
            <v>8.3800000000000003E-3</v>
          </cell>
          <cell r="AF4513">
            <v>4.5749999999999999E-2</v>
          </cell>
          <cell r="AG4513">
            <v>2.9059999999999999E-2</v>
          </cell>
          <cell r="AH4513">
            <v>5.8599999999999998E-3</v>
          </cell>
          <cell r="AI4513">
            <v>-1.2290000000000001E-2</v>
          </cell>
          <cell r="AJ4513">
            <v>4.2999999999999999E-4</v>
          </cell>
          <cell r="AK4513">
            <v>-2.4389999999999998E-2</v>
          </cell>
          <cell r="AL4513">
            <v>-5.4420000000000003E-2</v>
          </cell>
          <cell r="AM4513">
            <v>-7.2779999999999997E-2</v>
          </cell>
          <cell r="AN4513">
            <v>-6.9159999999999999E-2</v>
          </cell>
          <cell r="AO4513">
            <v>-0.12322</v>
          </cell>
          <cell r="AP4513">
            <v>-4.1700000000000001E-2</v>
          </cell>
        </row>
        <row r="4514">
          <cell r="D4514" t="str">
            <v>刈羽村</v>
          </cell>
          <cell r="E4514" t="str">
            <v>2030→2035</v>
          </cell>
          <cell r="F4514">
            <v>8.1659999999999996E-2</v>
          </cell>
          <cell r="G4514">
            <v>-2.9999999999999997E-4</v>
          </cell>
          <cell r="H4514">
            <v>-9.8669999999999994E-2</v>
          </cell>
          <cell r="I4514">
            <v>-0.19694999999999999</v>
          </cell>
          <cell r="J4514">
            <v>0.13507</v>
          </cell>
          <cell r="K4514">
            <v>3.3910000000000003E-2</v>
          </cell>
          <cell r="L4514">
            <v>4.1360000000000001E-2</v>
          </cell>
          <cell r="M4514">
            <v>1.8460000000000001E-2</v>
          </cell>
          <cell r="N4514">
            <v>1.1999999999999999E-3</v>
          </cell>
          <cell r="O4514">
            <v>1.4120000000000001E-2</v>
          </cell>
          <cell r="P4514">
            <v>6.4999999999999997E-4</v>
          </cell>
          <cell r="Q4514">
            <v>-2.664E-2</v>
          </cell>
          <cell r="R4514">
            <v>-1.3650000000000001E-2</v>
          </cell>
          <cell r="S4514">
            <v>-1.3780000000000001E-2</v>
          </cell>
          <cell r="T4514">
            <v>-1.2619999999999999E-2</v>
          </cell>
          <cell r="U4514">
            <v>-4.9680000000000002E-2</v>
          </cell>
          <cell r="V4514">
            <v>-4.138E-2</v>
          </cell>
          <cell r="W4514">
            <v>4.79E-3</v>
          </cell>
          <cell r="Y4514">
            <v>5.0529999999999999E-2</v>
          </cell>
          <cell r="Z4514">
            <v>6.9999999999999999E-4</v>
          </cell>
          <cell r="AA4514">
            <v>-9.7009999999999999E-2</v>
          </cell>
          <cell r="AB4514">
            <v>-0.31186000000000003</v>
          </cell>
          <cell r="AC4514">
            <v>0.2843</v>
          </cell>
          <cell r="AD4514">
            <v>0.12778</v>
          </cell>
          <cell r="AE4514">
            <v>1.7559999999999999E-2</v>
          </cell>
          <cell r="AF4514">
            <v>4.1059999999999999E-2</v>
          </cell>
          <cell r="AG4514">
            <v>2.7609999999999999E-2</v>
          </cell>
          <cell r="AH4514">
            <v>1.4599999999999999E-3</v>
          </cell>
          <cell r="AI4514">
            <v>-1.116E-2</v>
          </cell>
          <cell r="AJ4514">
            <v>-2.5999999999999998E-4</v>
          </cell>
          <cell r="AK4514">
            <v>-2.4320000000000001E-2</v>
          </cell>
          <cell r="AL4514">
            <v>-5.4269999999999999E-2</v>
          </cell>
          <cell r="AM4514">
            <v>-7.2359999999999994E-2</v>
          </cell>
          <cell r="AN4514">
            <v>-7.1410000000000001E-2</v>
          </cell>
          <cell r="AO4514">
            <v>-0.11828</v>
          </cell>
          <cell r="AP4514">
            <v>-4.8860000000000001E-2</v>
          </cell>
        </row>
        <row r="4515">
          <cell r="D4515" t="str">
            <v>刈羽村</v>
          </cell>
          <cell r="E4515" t="str">
            <v>2035→2040</v>
          </cell>
          <cell r="F4515">
            <v>7.6829999999999996E-2</v>
          </cell>
          <cell r="G4515">
            <v>-2.1099999999999999E-3</v>
          </cell>
          <cell r="H4515">
            <v>-0.10342999999999999</v>
          </cell>
          <cell r="I4515">
            <v>-0.19954</v>
          </cell>
          <cell r="J4515">
            <v>0.12770999999999999</v>
          </cell>
          <cell r="K4515">
            <v>2.1579999999999998E-2</v>
          </cell>
          <cell r="L4515">
            <v>3.295E-2</v>
          </cell>
          <cell r="M4515">
            <v>1.6709999999999999E-2</v>
          </cell>
          <cell r="N4515">
            <v>1.072E-2</v>
          </cell>
          <cell r="O4515">
            <v>9.6100000000000005E-3</v>
          </cell>
          <cell r="P4515">
            <v>4.2000000000000002E-4</v>
          </cell>
          <cell r="Q4515">
            <v>-2.5930000000000002E-2</v>
          </cell>
          <cell r="R4515">
            <v>-1.447E-2</v>
          </cell>
          <cell r="S4515">
            <v>-1.291E-2</v>
          </cell>
          <cell r="T4515">
            <v>-1.191E-2</v>
          </cell>
          <cell r="U4515">
            <v>-4.8219999999999999E-2</v>
          </cell>
          <cell r="V4515">
            <v>-4.0980000000000003E-2</v>
          </cell>
          <cell r="W4515">
            <v>1.6480000000000002E-2</v>
          </cell>
          <cell r="Y4515">
            <v>4.641E-2</v>
          </cell>
          <cell r="Z4515">
            <v>-1.4400000000000001E-3</v>
          </cell>
          <cell r="AA4515">
            <v>-0.10136000000000001</v>
          </cell>
          <cell r="AB4515">
            <v>-0.32268000000000002</v>
          </cell>
          <cell r="AC4515">
            <v>0.26744000000000001</v>
          </cell>
          <cell r="AD4515">
            <v>0.10765</v>
          </cell>
          <cell r="AE4515">
            <v>6.0099999999999997E-3</v>
          </cell>
          <cell r="AF4515">
            <v>4.5429999999999998E-2</v>
          </cell>
          <cell r="AG4515">
            <v>2.5329999999999998E-2</v>
          </cell>
          <cell r="AH4515">
            <v>4.0000000000000003E-5</v>
          </cell>
          <cell r="AI4515">
            <v>-1.133E-2</v>
          </cell>
          <cell r="AJ4515">
            <v>7.6000000000000004E-4</v>
          </cell>
          <cell r="AK4515">
            <v>-2.4490000000000001E-2</v>
          </cell>
          <cell r="AL4515">
            <v>-5.4170000000000003E-2</v>
          </cell>
          <cell r="AM4515">
            <v>-7.2069999999999995E-2</v>
          </cell>
          <cell r="AN4515">
            <v>-7.0610000000000006E-2</v>
          </cell>
          <cell r="AO4515">
            <v>-0.11841</v>
          </cell>
          <cell r="AP4515">
            <v>-4.181E-2</v>
          </cell>
        </row>
        <row r="4516">
          <cell r="D4516" t="str">
            <v>刈羽村</v>
          </cell>
          <cell r="E4516" t="str">
            <v>2040→2045</v>
          </cell>
          <cell r="F4516">
            <v>7.281E-2</v>
          </cell>
          <cell r="G4516">
            <v>-3.7699999999999999E-3</v>
          </cell>
          <cell r="H4516">
            <v>-0.10632999999999999</v>
          </cell>
          <cell r="I4516">
            <v>-0.21009</v>
          </cell>
          <cell r="J4516">
            <v>0.12239</v>
          </cell>
          <cell r="K4516">
            <v>1.6219999999999998E-2</v>
          </cell>
          <cell r="L4516">
            <v>2.418E-2</v>
          </cell>
          <cell r="M4516">
            <v>1.6049999999999998E-2</v>
          </cell>
          <cell r="N4516">
            <v>8.94E-3</v>
          </cell>
          <cell r="O4516">
            <v>1.6199999999999999E-2</v>
          </cell>
          <cell r="P4516">
            <v>3.8999999999999999E-4</v>
          </cell>
          <cell r="Q4516">
            <v>-2.5919999999999999E-2</v>
          </cell>
          <cell r="R4516">
            <v>-1.406E-2</v>
          </cell>
          <cell r="S4516">
            <v>-1.4019999999999999E-2</v>
          </cell>
          <cell r="T4516">
            <v>-1.404E-2</v>
          </cell>
          <cell r="U4516">
            <v>-4.7489999999999997E-2</v>
          </cell>
          <cell r="V4516">
            <v>-3.9960000000000002E-2</v>
          </cell>
          <cell r="W4516">
            <v>6.9999999999999999E-4</v>
          </cell>
          <cell r="Y4516">
            <v>4.2970000000000001E-2</v>
          </cell>
          <cell r="Z4516">
            <v>-3.3899999999999998E-3</v>
          </cell>
          <cell r="AA4516">
            <v>-0.10407</v>
          </cell>
          <cell r="AB4516">
            <v>-0.32834999999999998</v>
          </cell>
          <cell r="AC4516">
            <v>0.21229000000000001</v>
          </cell>
          <cell r="AD4516">
            <v>0.10290000000000001</v>
          </cell>
          <cell r="AE4516">
            <v>4.6000000000000001E-4</v>
          </cell>
          <cell r="AF4516">
            <v>3.9539999999999999E-2</v>
          </cell>
          <cell r="AG4516">
            <v>2.7349999999999999E-2</v>
          </cell>
          <cell r="AH4516">
            <v>-2.0699999999999998E-3</v>
          </cell>
          <cell r="AI4516">
            <v>-1.137E-2</v>
          </cell>
          <cell r="AJ4516">
            <v>7.6000000000000004E-4</v>
          </cell>
          <cell r="AK4516">
            <v>-2.4570000000000002E-2</v>
          </cell>
          <cell r="AL4516">
            <v>-5.4449999999999998E-2</v>
          </cell>
          <cell r="AM4516">
            <v>-7.1849999999999997E-2</v>
          </cell>
          <cell r="AN4516">
            <v>-7.0660000000000001E-2</v>
          </cell>
          <cell r="AO4516">
            <v>-0.11734</v>
          </cell>
          <cell r="AP4516">
            <v>-5.7959999999999998E-2</v>
          </cell>
        </row>
        <row r="4517">
          <cell r="D4517" t="str">
            <v>関川村</v>
          </cell>
          <cell r="E4517" t="str">
            <v>2015→2020</v>
          </cell>
          <cell r="F4517">
            <v>-5.475E-2</v>
          </cell>
          <cell r="G4517">
            <v>-2.5420000000000002E-2</v>
          </cell>
          <cell r="H4517">
            <v>-0.15981000000000001</v>
          </cell>
          <cell r="I4517">
            <v>-0.34836</v>
          </cell>
          <cell r="J4517">
            <v>-2.171E-2</v>
          </cell>
          <cell r="K4517">
            <v>-1.6879999999999999E-2</v>
          </cell>
          <cell r="L4517">
            <v>-0.10327</v>
          </cell>
          <cell r="M4517">
            <v>3.7200000000000002E-3</v>
          </cell>
          <cell r="N4517">
            <v>-3.9699999999999996E-3</v>
          </cell>
          <cell r="O4517">
            <v>-9.9100000000000004E-3</v>
          </cell>
          <cell r="P4517">
            <v>-3.465E-2</v>
          </cell>
          <cell r="Q4517">
            <v>-6.1199999999999996E-3</v>
          </cell>
          <cell r="R4517">
            <v>-1.9470000000000001E-2</v>
          </cell>
          <cell r="S4517">
            <v>-1.1299999999999999E-3</v>
          </cell>
          <cell r="T4517">
            <v>-3.3989999999999999E-2</v>
          </cell>
          <cell r="U4517">
            <v>2.9399999999999999E-3</v>
          </cell>
          <cell r="V4517">
            <v>2.6370000000000001E-2</v>
          </cell>
          <cell r="W4517">
            <v>2.3769999999999999E-2</v>
          </cell>
          <cell r="Y4517">
            <v>0.10987</v>
          </cell>
          <cell r="Z4517">
            <v>2.5229999999999999E-2</v>
          </cell>
          <cell r="AA4517">
            <v>-0.22205</v>
          </cell>
          <cell r="AB4517">
            <v>-0.42941000000000001</v>
          </cell>
          <cell r="AC4517">
            <v>2.707E-2</v>
          </cell>
          <cell r="AD4517">
            <v>-0.13436000000000001</v>
          </cell>
          <cell r="AE4517">
            <v>4.3909999999999998E-2</v>
          </cell>
          <cell r="AF4517">
            <v>-2.7320000000000001E-2</v>
          </cell>
          <cell r="AG4517">
            <v>1.9060000000000001E-2</v>
          </cell>
          <cell r="AH4517">
            <v>-4.2300000000000003E-3</v>
          </cell>
          <cell r="AI4517">
            <v>-3.0589999999999999E-2</v>
          </cell>
          <cell r="AJ4517">
            <v>-7.8200000000000006E-3</v>
          </cell>
          <cell r="AK4517">
            <v>-3.322E-2</v>
          </cell>
          <cell r="AL4517">
            <v>-2.48E-3</v>
          </cell>
          <cell r="AM4517">
            <v>5.3800000000000002E-3</v>
          </cell>
          <cell r="AN4517">
            <v>-1.704E-2</v>
          </cell>
          <cell r="AO4517">
            <v>-4.8300000000000003E-2</v>
          </cell>
          <cell r="AP4517">
            <v>2.613E-2</v>
          </cell>
        </row>
        <row r="4518">
          <cell r="D4518" t="str">
            <v>関川村</v>
          </cell>
          <cell r="E4518" t="str">
            <v>2020→2025</v>
          </cell>
          <cell r="F4518">
            <v>-5.3780000000000001E-2</v>
          </cell>
          <cell r="G4518">
            <v>-2.453E-2</v>
          </cell>
          <cell r="H4518">
            <v>-0.15981000000000001</v>
          </cell>
          <cell r="I4518">
            <v>-0.34836</v>
          </cell>
          <cell r="J4518">
            <v>-2.563E-2</v>
          </cell>
          <cell r="K4518">
            <v>-1.49E-2</v>
          </cell>
          <cell r="L4518">
            <v>-0.10224</v>
          </cell>
          <cell r="M4518">
            <v>5.1200000000000004E-3</v>
          </cell>
          <cell r="N4518">
            <v>-1.9E-3</v>
          </cell>
          <cell r="O4518">
            <v>-9.5899999999999996E-3</v>
          </cell>
          <cell r="P4518">
            <v>-3.465E-2</v>
          </cell>
          <cell r="Q4518">
            <v>-6.0600000000000003E-3</v>
          </cell>
          <cell r="R4518">
            <v>-1.915E-2</v>
          </cell>
          <cell r="S4518">
            <v>-3.5599999999999998E-3</v>
          </cell>
          <cell r="T4518">
            <v>-3.1579999999999997E-2</v>
          </cell>
          <cell r="U4518">
            <v>0</v>
          </cell>
          <cell r="V4518">
            <v>2.3390000000000001E-2</v>
          </cell>
          <cell r="W4518">
            <v>1.8550000000000001E-2</v>
          </cell>
          <cell r="Y4518">
            <v>0.11164</v>
          </cell>
          <cell r="Z4518">
            <v>2.6970000000000001E-2</v>
          </cell>
          <cell r="AA4518">
            <v>-0.22206000000000001</v>
          </cell>
          <cell r="AB4518">
            <v>-0.42947999999999997</v>
          </cell>
          <cell r="AC4518">
            <v>1.9650000000000001E-2</v>
          </cell>
          <cell r="AD4518">
            <v>-0.13255</v>
          </cell>
          <cell r="AE4518">
            <v>4.8030000000000003E-2</v>
          </cell>
          <cell r="AF4518">
            <v>-2.666E-2</v>
          </cell>
          <cell r="AG4518">
            <v>2.3390000000000001E-2</v>
          </cell>
          <cell r="AH4518">
            <v>-4.0800000000000003E-3</v>
          </cell>
          <cell r="AI4518">
            <v>-3.065E-2</v>
          </cell>
          <cell r="AJ4518">
            <v>-7.8600000000000007E-3</v>
          </cell>
          <cell r="AK4518">
            <v>-3.3110000000000001E-2</v>
          </cell>
          <cell r="AL4518">
            <v>-2.7200000000000002E-3</v>
          </cell>
          <cell r="AM4518">
            <v>8.3599999999999994E-3</v>
          </cell>
          <cell r="AN4518">
            <v>-1.806E-2</v>
          </cell>
          <cell r="AO4518">
            <v>-4.9950000000000001E-2</v>
          </cell>
          <cell r="AP4518">
            <v>1.8800000000000001E-2</v>
          </cell>
        </row>
        <row r="4519">
          <cell r="D4519" t="str">
            <v>関川村</v>
          </cell>
          <cell r="E4519" t="str">
            <v>2025→2030</v>
          </cell>
          <cell r="F4519">
            <v>-5.2990000000000002E-2</v>
          </cell>
          <cell r="G4519">
            <v>-2.4340000000000001E-2</v>
          </cell>
          <cell r="H4519">
            <v>-0.15981000000000001</v>
          </cell>
          <cell r="I4519">
            <v>-0.34836</v>
          </cell>
          <cell r="J4519">
            <v>-3.3250000000000002E-2</v>
          </cell>
          <cell r="K4519">
            <v>-1.7270000000000001E-2</v>
          </cell>
          <cell r="L4519">
            <v>-0.10186000000000001</v>
          </cell>
          <cell r="M4519">
            <v>6.2100000000000002E-3</v>
          </cell>
          <cell r="N4519">
            <v>-1.9599999999999999E-3</v>
          </cell>
          <cell r="O4519">
            <v>-7.3899999999999999E-3</v>
          </cell>
          <cell r="P4519">
            <v>-3.465E-2</v>
          </cell>
          <cell r="Q4519">
            <v>-5.9500000000000004E-3</v>
          </cell>
          <cell r="R4519">
            <v>-1.8929999999999999E-2</v>
          </cell>
          <cell r="S4519">
            <v>-3.5899999999999999E-3</v>
          </cell>
          <cell r="T4519">
            <v>-3.4419999999999999E-2</v>
          </cell>
          <cell r="U4519">
            <v>5.8700000000000002E-3</v>
          </cell>
          <cell r="V4519">
            <v>1.7080000000000001E-2</v>
          </cell>
          <cell r="W4519">
            <v>1.06E-2</v>
          </cell>
          <cell r="Y4519">
            <v>0.11315</v>
          </cell>
          <cell r="Z4519">
            <v>2.7189999999999999E-2</v>
          </cell>
          <cell r="AA4519">
            <v>-0.22206000000000001</v>
          </cell>
          <cell r="AB4519">
            <v>-0.42952000000000001</v>
          </cell>
          <cell r="AC4519">
            <v>1.397E-2</v>
          </cell>
          <cell r="AD4519">
            <v>-0.13686000000000001</v>
          </cell>
          <cell r="AE4519">
            <v>4.8919999999999998E-2</v>
          </cell>
          <cell r="AF4519">
            <v>-2.564E-2</v>
          </cell>
          <cell r="AG4519">
            <v>2.3449999999999999E-2</v>
          </cell>
          <cell r="AH4519">
            <v>-2.32E-3</v>
          </cell>
          <cell r="AI4519">
            <v>-3.056E-2</v>
          </cell>
          <cell r="AJ4519">
            <v>-7.8499999999999993E-3</v>
          </cell>
          <cell r="AK4519">
            <v>-3.3000000000000002E-2</v>
          </cell>
          <cell r="AL4519">
            <v>-2.7299999999999998E-3</v>
          </cell>
          <cell r="AM4519">
            <v>9.0900000000000009E-3</v>
          </cell>
          <cell r="AN4519">
            <v>-1.504E-2</v>
          </cell>
          <cell r="AO4519">
            <v>-5.2260000000000001E-2</v>
          </cell>
          <cell r="AP4519">
            <v>8.2400000000000008E-3</v>
          </cell>
        </row>
        <row r="4520">
          <cell r="D4520" t="str">
            <v>関川村</v>
          </cell>
          <cell r="E4520" t="str">
            <v>2030→2035</v>
          </cell>
          <cell r="F4520">
            <v>-5.2949999999999997E-2</v>
          </cell>
          <cell r="G4520">
            <v>-2.4119999999999999E-2</v>
          </cell>
          <cell r="H4520">
            <v>-0.15981000000000001</v>
          </cell>
          <cell r="I4520">
            <v>-0.34836</v>
          </cell>
          <cell r="J4520">
            <v>-3.474E-2</v>
          </cell>
          <cell r="K4520">
            <v>-2.0889999999999999E-2</v>
          </cell>
          <cell r="L4520">
            <v>-0.10308</v>
          </cell>
          <cell r="M4520">
            <v>6.6E-3</v>
          </cell>
          <cell r="N4520">
            <v>-1.6800000000000001E-3</v>
          </cell>
          <cell r="O4520">
            <v>-7.4900000000000001E-3</v>
          </cell>
          <cell r="P4520">
            <v>-3.465E-2</v>
          </cell>
          <cell r="Q4520">
            <v>-6.1599999999999997E-3</v>
          </cell>
          <cell r="R4520">
            <v>-1.8759999999999999E-2</v>
          </cell>
          <cell r="S4520">
            <v>-1.41E-3</v>
          </cell>
          <cell r="T4520">
            <v>-3.3660000000000002E-2</v>
          </cell>
          <cell r="U4520">
            <v>1.98E-3</v>
          </cell>
          <cell r="V4520">
            <v>2.7660000000000001E-2</v>
          </cell>
          <cell r="W4520">
            <v>6.1900000000000002E-3</v>
          </cell>
          <cell r="Y4520">
            <v>0.11322</v>
          </cell>
          <cell r="Z4520">
            <v>2.7629999999999998E-2</v>
          </cell>
          <cell r="AA4520">
            <v>-0.22206999999999999</v>
          </cell>
          <cell r="AB4520">
            <v>-0.42953000000000002</v>
          </cell>
          <cell r="AC4520">
            <v>1.3180000000000001E-2</v>
          </cell>
          <cell r="AD4520">
            <v>-0.14047999999999999</v>
          </cell>
          <cell r="AE4520">
            <v>4.351E-2</v>
          </cell>
          <cell r="AF4520">
            <v>-2.5669999999999998E-2</v>
          </cell>
          <cell r="AG4520">
            <v>2.4219999999999998E-2</v>
          </cell>
          <cell r="AH4520">
            <v>-2.3700000000000001E-3</v>
          </cell>
          <cell r="AI4520">
            <v>-2.9899999999999999E-2</v>
          </cell>
          <cell r="AJ4520">
            <v>-7.8300000000000002E-3</v>
          </cell>
          <cell r="AK4520">
            <v>-3.2930000000000001E-2</v>
          </cell>
          <cell r="AL4520">
            <v>-3.0100000000000001E-3</v>
          </cell>
          <cell r="AM4520">
            <v>8.2400000000000008E-3</v>
          </cell>
          <cell r="AN4520">
            <v>-1.771E-2</v>
          </cell>
          <cell r="AO4520">
            <v>-4.6820000000000001E-2</v>
          </cell>
          <cell r="AP4520">
            <v>4.1900000000000001E-3</v>
          </cell>
        </row>
        <row r="4521">
          <cell r="D4521" t="str">
            <v>関川村</v>
          </cell>
          <cell r="E4521" t="str">
            <v>2035→2040</v>
          </cell>
          <cell r="F4521">
            <v>-5.3060000000000003E-2</v>
          </cell>
          <cell r="G4521">
            <v>-2.4250000000000001E-2</v>
          </cell>
          <cell r="H4521">
            <v>-0.15981000000000001</v>
          </cell>
          <cell r="I4521">
            <v>-0.34836</v>
          </cell>
          <cell r="J4521">
            <v>-3.313E-2</v>
          </cell>
          <cell r="K4521">
            <v>-2.2280000000000001E-2</v>
          </cell>
          <cell r="L4521">
            <v>-0.10474</v>
          </cell>
          <cell r="M4521">
            <v>3.64E-3</v>
          </cell>
          <cell r="N4521">
            <v>-1.6199999999999999E-3</v>
          </cell>
          <cell r="O4521">
            <v>-7.0400000000000003E-3</v>
          </cell>
          <cell r="P4521">
            <v>-3.465E-2</v>
          </cell>
          <cell r="Q4521">
            <v>-5.3699999999999998E-3</v>
          </cell>
          <cell r="R4521">
            <v>-1.9220000000000001E-2</v>
          </cell>
          <cell r="S4521">
            <v>-1.49E-3</v>
          </cell>
          <cell r="T4521">
            <v>-3.3250000000000002E-2</v>
          </cell>
          <cell r="U4521">
            <v>2.7399999999999998E-3</v>
          </cell>
          <cell r="V4521">
            <v>2.3949999999999999E-2</v>
          </cell>
          <cell r="W4521">
            <v>1.6230000000000001E-2</v>
          </cell>
          <cell r="Y4521">
            <v>0.11294</v>
          </cell>
          <cell r="Z4521">
            <v>2.734E-2</v>
          </cell>
          <cell r="AA4521">
            <v>-0.22208</v>
          </cell>
          <cell r="AB4521">
            <v>-0.42954999999999999</v>
          </cell>
          <cell r="AC4521">
            <v>1.3480000000000001E-2</v>
          </cell>
          <cell r="AD4521">
            <v>-0.14136000000000001</v>
          </cell>
          <cell r="AE4521">
            <v>3.8920000000000003E-2</v>
          </cell>
          <cell r="AF4521">
            <v>-2.8039999999999999E-2</v>
          </cell>
          <cell r="AG4521">
            <v>2.3990000000000001E-2</v>
          </cell>
          <cell r="AH4521">
            <v>-1.8400000000000001E-3</v>
          </cell>
          <cell r="AI4521">
            <v>-2.9940000000000001E-2</v>
          </cell>
          <cell r="AJ4521">
            <v>-7.6600000000000001E-3</v>
          </cell>
          <cell r="AK4521">
            <v>-3.3099999999999997E-2</v>
          </cell>
          <cell r="AL4521">
            <v>-3.1099999999999999E-3</v>
          </cell>
          <cell r="AM4521">
            <v>6.5199999999999998E-3</v>
          </cell>
          <cell r="AN4521">
            <v>-1.7180000000000001E-2</v>
          </cell>
          <cell r="AO4521">
            <v>-5.1240000000000001E-2</v>
          </cell>
          <cell r="AP4521">
            <v>1.435E-2</v>
          </cell>
        </row>
        <row r="4522">
          <cell r="D4522" t="str">
            <v>関川村</v>
          </cell>
          <cell r="E4522" t="str">
            <v>2040→2045</v>
          </cell>
          <cell r="F4522">
            <v>-5.3449999999999998E-2</v>
          </cell>
          <cell r="G4522">
            <v>-2.444E-2</v>
          </cell>
          <cell r="H4522">
            <v>-0.15981000000000001</v>
          </cell>
          <cell r="I4522">
            <v>-0.34836</v>
          </cell>
          <cell r="J4522">
            <v>-3.3210000000000003E-2</v>
          </cell>
          <cell r="K4522">
            <v>-2.189E-2</v>
          </cell>
          <cell r="L4522">
            <v>-0.10537000000000001</v>
          </cell>
          <cell r="M4522">
            <v>6.0000000000000002E-5</v>
          </cell>
          <cell r="N4522">
            <v>-2.5899999999999999E-3</v>
          </cell>
          <cell r="O4522">
            <v>-6.8199999999999997E-3</v>
          </cell>
          <cell r="P4522">
            <v>-3.465E-2</v>
          </cell>
          <cell r="Q4522">
            <v>-5.3400000000000001E-3</v>
          </cell>
          <cell r="R4522">
            <v>-1.9429999999999999E-2</v>
          </cell>
          <cell r="S4522">
            <v>-2.2300000000000002E-3</v>
          </cell>
          <cell r="T4522">
            <v>-3.2890000000000003E-2</v>
          </cell>
          <cell r="U4522">
            <v>2.16E-3</v>
          </cell>
          <cell r="V4522">
            <v>2.3959999999999999E-2</v>
          </cell>
          <cell r="W4522">
            <v>-3.4499999999999999E-3</v>
          </cell>
          <cell r="Y4522">
            <v>0.11211</v>
          </cell>
          <cell r="Z4522">
            <v>2.691E-2</v>
          </cell>
          <cell r="AA4522">
            <v>-0.22209999999999999</v>
          </cell>
          <cell r="AB4522">
            <v>-0.42958000000000002</v>
          </cell>
          <cell r="AC4522">
            <v>1.304E-2</v>
          </cell>
          <cell r="AD4522">
            <v>-0.14080000000000001</v>
          </cell>
          <cell r="AE4522">
            <v>3.78E-2</v>
          </cell>
          <cell r="AF4522">
            <v>-2.9919999999999999E-2</v>
          </cell>
          <cell r="AG4522">
            <v>2.145E-2</v>
          </cell>
          <cell r="AH4522">
            <v>-1.6999999999999999E-3</v>
          </cell>
          <cell r="AI4522">
            <v>-2.963E-2</v>
          </cell>
          <cell r="AJ4522">
            <v>-7.6499999999999997E-3</v>
          </cell>
          <cell r="AK4522">
            <v>-3.3180000000000001E-2</v>
          </cell>
          <cell r="AL4522">
            <v>-3.3899999999999998E-3</v>
          </cell>
          <cell r="AM4522">
            <v>5.8700000000000002E-3</v>
          </cell>
          <cell r="AN4522">
            <v>-1.7080000000000001E-2</v>
          </cell>
          <cell r="AO4522">
            <v>-5.0389999999999997E-2</v>
          </cell>
          <cell r="AP4522">
            <v>-6.3800000000000003E-3</v>
          </cell>
        </row>
        <row r="4523">
          <cell r="D4523" t="str">
            <v>粟島浦村</v>
          </cell>
          <cell r="E4523" t="str">
            <v>2015→2020</v>
          </cell>
          <cell r="F4523">
            <v>-0.12494</v>
          </cell>
          <cell r="G4523">
            <v>0.13941999999999999</v>
          </cell>
          <cell r="H4523">
            <v>-0.60323000000000004</v>
          </cell>
          <cell r="I4523">
            <v>0.44845000000000002</v>
          </cell>
          <cell r="J4523">
            <v>1.0927</v>
          </cell>
          <cell r="K4523">
            <v>-0.34861999999999999</v>
          </cell>
          <cell r="L4523">
            <v>-0.11738</v>
          </cell>
          <cell r="M4523">
            <v>0.26297999999999999</v>
          </cell>
          <cell r="N4523">
            <v>-2.5200000000000001E-3</v>
          </cell>
          <cell r="O4523">
            <v>3.465E-2</v>
          </cell>
          <cell r="P4523">
            <v>-8.7260000000000004E-2</v>
          </cell>
          <cell r="Q4523">
            <v>-0.16019</v>
          </cell>
          <cell r="R4523">
            <v>-9.4920000000000004E-2</v>
          </cell>
          <cell r="S4523">
            <v>1.346E-2</v>
          </cell>
          <cell r="T4523">
            <v>-0.13406999999999999</v>
          </cell>
          <cell r="U4523">
            <v>1.0279999999999999E-2</v>
          </cell>
          <cell r="V4523">
            <v>-0.25095000000000001</v>
          </cell>
          <cell r="W4523">
            <v>-0.21586</v>
          </cell>
          <cell r="Y4523">
            <v>0.31507000000000002</v>
          </cell>
          <cell r="Z4523">
            <v>0.93203999999999998</v>
          </cell>
          <cell r="AA4523">
            <v>0.32756000000000002</v>
          </cell>
          <cell r="AB4523">
            <v>0.53798999999999997</v>
          </cell>
          <cell r="AC4523">
            <v>0.42387000000000002</v>
          </cell>
          <cell r="AD4523">
            <v>-0.30645</v>
          </cell>
          <cell r="AE4523">
            <v>-9.1990000000000002E-2</v>
          </cell>
          <cell r="AF4523">
            <v>4.0820000000000002E-2</v>
          </cell>
          <cell r="AG4523">
            <v>7.6439999999999994E-2</v>
          </cell>
          <cell r="AH4523">
            <v>7.5069999999999998E-2</v>
          </cell>
          <cell r="AI4523">
            <v>0.18384</v>
          </cell>
          <cell r="AJ4523">
            <v>6.6540000000000002E-2</v>
          </cell>
          <cell r="AK4523">
            <v>7.62E-3</v>
          </cell>
          <cell r="AL4523">
            <v>-7.8869999999999996E-2</v>
          </cell>
          <cell r="AM4523">
            <v>-3.1910000000000001E-2</v>
          </cell>
          <cell r="AN4523">
            <v>5.3179999999999998E-2</v>
          </cell>
          <cell r="AO4523">
            <v>-7.4200000000000004E-3</v>
          </cell>
          <cell r="AP4523">
            <v>-6.1269999999999998E-2</v>
          </cell>
        </row>
        <row r="4524">
          <cell r="D4524" t="str">
            <v>粟島浦村</v>
          </cell>
          <cell r="E4524" t="str">
            <v>2020→2025</v>
          </cell>
          <cell r="F4524">
            <v>-0.14874000000000001</v>
          </cell>
          <cell r="G4524" t="str">
            <v>***</v>
          </cell>
          <cell r="H4524">
            <v>-0.52659</v>
          </cell>
          <cell r="I4524">
            <v>0.46450000000000002</v>
          </cell>
          <cell r="J4524">
            <v>1.0619099999999999</v>
          </cell>
          <cell r="K4524">
            <v>-0.37092000000000003</v>
          </cell>
          <cell r="L4524">
            <v>-0.1167</v>
          </cell>
          <cell r="M4524">
            <v>0.29909999999999998</v>
          </cell>
          <cell r="N4524">
            <v>5.4999999999999997E-3</v>
          </cell>
          <cell r="O4524">
            <v>3.5959999999999999E-2</v>
          </cell>
          <cell r="P4524">
            <v>-8.7550000000000003E-2</v>
          </cell>
          <cell r="Q4524">
            <v>-0.16026000000000001</v>
          </cell>
          <cell r="R4524">
            <v>-6.6650000000000001E-2</v>
          </cell>
          <cell r="S4524">
            <v>-1.145E-2</v>
          </cell>
          <cell r="T4524">
            <v>-0.12998999999999999</v>
          </cell>
          <cell r="U4524">
            <v>5.6899999999999997E-3</v>
          </cell>
          <cell r="V4524">
            <v>-0.25237999999999999</v>
          </cell>
          <cell r="W4524">
            <v>-0.18708</v>
          </cell>
          <cell r="Y4524">
            <v>0.46187</v>
          </cell>
          <cell r="Z4524">
            <v>0.56620999999999999</v>
          </cell>
          <cell r="AA4524">
            <v>-0.10109</v>
          </cell>
          <cell r="AB4524">
            <v>0.50341999999999998</v>
          </cell>
          <cell r="AC4524">
            <v>8.115E-2</v>
          </cell>
          <cell r="AD4524">
            <v>-0.35780000000000001</v>
          </cell>
          <cell r="AE4524">
            <v>-0.11294</v>
          </cell>
          <cell r="AF4524">
            <v>3.9809999999999998E-2</v>
          </cell>
          <cell r="AG4524">
            <v>5.3069999999999999E-2</v>
          </cell>
          <cell r="AH4524">
            <v>7.5459999999999999E-2</v>
          </cell>
          <cell r="AI4524">
            <v>0.19248999999999999</v>
          </cell>
          <cell r="AJ4524">
            <v>6.6059999999999994E-2</v>
          </cell>
          <cell r="AK4524">
            <v>8.8800000000000007E-3</v>
          </cell>
          <cell r="AL4524">
            <v>-7.9640000000000002E-2</v>
          </cell>
          <cell r="AM4524">
            <v>-3.0620000000000001E-2</v>
          </cell>
          <cell r="AN4524">
            <v>4.8050000000000002E-2</v>
          </cell>
          <cell r="AO4524">
            <v>-6.5100000000000002E-3</v>
          </cell>
          <cell r="AP4524">
            <v>-6.6669999999999993E-2</v>
          </cell>
        </row>
        <row r="4525">
          <cell r="D4525" t="str">
            <v>粟島浦村</v>
          </cell>
          <cell r="E4525" t="str">
            <v>2025→2030</v>
          </cell>
          <cell r="F4525">
            <v>-0.15698000000000001</v>
          </cell>
          <cell r="G4525">
            <v>0.18174999999999999</v>
          </cell>
          <cell r="H4525">
            <v>-0.52859</v>
          </cell>
          <cell r="I4525">
            <v>0.75387999999999999</v>
          </cell>
          <cell r="J4525">
            <v>1.01475</v>
          </cell>
          <cell r="K4525">
            <v>-0.38758999999999999</v>
          </cell>
          <cell r="L4525">
            <v>-0.12856999999999999</v>
          </cell>
          <cell r="M4525">
            <v>0.41188000000000002</v>
          </cell>
          <cell r="N4525">
            <v>4.5199999999999997E-3</v>
          </cell>
          <cell r="O4525">
            <v>4.2009999999999999E-2</v>
          </cell>
          <cell r="P4525">
            <v>-8.7599999999999997E-2</v>
          </cell>
          <cell r="Q4525">
            <v>-0.16022</v>
          </cell>
          <cell r="R4525">
            <v>-6.6879999999999995E-2</v>
          </cell>
          <cell r="S4525">
            <v>1.5480000000000001E-2</v>
          </cell>
          <cell r="T4525">
            <v>-0.13366</v>
          </cell>
          <cell r="U4525">
            <v>1.3979999999999999E-2</v>
          </cell>
          <cell r="V4525">
            <v>-0.25679000000000002</v>
          </cell>
          <cell r="W4525">
            <v>-0.11879000000000001</v>
          </cell>
          <cell r="Y4525">
            <v>0.37961</v>
          </cell>
          <cell r="Z4525">
            <v>0.74063999999999997</v>
          </cell>
          <cell r="AA4525">
            <v>-0.20924000000000001</v>
          </cell>
          <cell r="AB4525">
            <v>0.26167000000000001</v>
          </cell>
          <cell r="AC4525">
            <v>7.6469999999999996E-2</v>
          </cell>
          <cell r="AD4525">
            <v>-0.46748000000000001</v>
          </cell>
          <cell r="AE4525">
            <v>-0.11731999999999999</v>
          </cell>
          <cell r="AF4525">
            <v>3.2599999999999997E-2</v>
          </cell>
          <cell r="AG4525">
            <v>5.1380000000000002E-2</v>
          </cell>
          <cell r="AH4525">
            <v>7.8149999999999997E-2</v>
          </cell>
          <cell r="AI4525">
            <v>0.19381999999999999</v>
          </cell>
          <cell r="AJ4525">
            <v>6.5570000000000003E-2</v>
          </cell>
          <cell r="AK4525">
            <v>8.2400000000000008E-3</v>
          </cell>
          <cell r="AL4525">
            <v>-7.9430000000000001E-2</v>
          </cell>
          <cell r="AM4525">
            <v>-3.2250000000000001E-2</v>
          </cell>
          <cell r="AN4525">
            <v>5.5559999999999998E-2</v>
          </cell>
          <cell r="AO4525">
            <v>-9.4500000000000001E-3</v>
          </cell>
          <cell r="AP4525">
            <v>-7.4579999999999994E-2</v>
          </cell>
        </row>
        <row r="4526">
          <cell r="D4526" t="str">
            <v>粟島浦村</v>
          </cell>
          <cell r="E4526" t="str">
            <v>2030→2035</v>
          </cell>
          <cell r="F4526">
            <v>-0.16086</v>
          </cell>
          <cell r="G4526">
            <v>0.15042</v>
          </cell>
          <cell r="H4526">
            <v>-0.53078999999999998</v>
          </cell>
          <cell r="I4526" t="str">
            <v>***</v>
          </cell>
          <cell r="J4526">
            <v>1.0040100000000001</v>
          </cell>
          <cell r="K4526">
            <v>-0.38374000000000003</v>
          </cell>
          <cell r="L4526">
            <v>-0.13414999999999999</v>
          </cell>
          <cell r="M4526">
            <v>0.22908999999999999</v>
          </cell>
          <cell r="N4526">
            <v>4.9100000000000003E-3</v>
          </cell>
          <cell r="O4526">
            <v>4.1090000000000002E-2</v>
          </cell>
          <cell r="P4526">
            <v>-8.5489999999999997E-2</v>
          </cell>
          <cell r="Q4526">
            <v>-0.16031000000000001</v>
          </cell>
          <cell r="R4526">
            <v>-6.6900000000000001E-2</v>
          </cell>
          <cell r="S4526">
            <v>1.1310000000000001E-2</v>
          </cell>
          <cell r="T4526">
            <v>-0.13056000000000001</v>
          </cell>
          <cell r="U4526">
            <v>1.346E-2</v>
          </cell>
          <cell r="V4526">
            <v>-0.24898000000000001</v>
          </cell>
          <cell r="W4526">
            <v>-5.9760000000000001E-2</v>
          </cell>
          <cell r="Y4526">
            <v>0.34081</v>
          </cell>
          <cell r="Z4526">
            <v>0.64312000000000002</v>
          </cell>
          <cell r="AA4526">
            <v>-0.16164000000000001</v>
          </cell>
          <cell r="AB4526">
            <v>0.15870999999999999</v>
          </cell>
          <cell r="AC4526">
            <v>1.89E-2</v>
          </cell>
          <cell r="AD4526">
            <v>-0.46965000000000001</v>
          </cell>
          <cell r="AE4526">
            <v>-0.12823000000000001</v>
          </cell>
          <cell r="AF4526">
            <v>3.0980000000000001E-2</v>
          </cell>
          <cell r="AG4526">
            <v>4.2220000000000001E-2</v>
          </cell>
          <cell r="AH4526">
            <v>7.7939999999999995E-2</v>
          </cell>
          <cell r="AI4526">
            <v>0.19936999999999999</v>
          </cell>
          <cell r="AJ4526">
            <v>6.5949999999999995E-2</v>
          </cell>
          <cell r="AK4526">
            <v>1.8169999999999999E-2</v>
          </cell>
          <cell r="AL4526">
            <v>-7.9289999999999999E-2</v>
          </cell>
          <cell r="AM4526">
            <v>-3.1800000000000002E-2</v>
          </cell>
          <cell r="AN4526">
            <v>5.8450000000000002E-2</v>
          </cell>
          <cell r="AO4526">
            <v>-3.0000000000000001E-3</v>
          </cell>
          <cell r="AP4526">
            <v>-7.6189999999999994E-2</v>
          </cell>
        </row>
        <row r="4527">
          <cell r="D4527" t="str">
            <v>粟島浦村</v>
          </cell>
          <cell r="E4527" t="str">
            <v>2035→2040</v>
          </cell>
          <cell r="F4527">
            <v>-0.16275999999999999</v>
          </cell>
          <cell r="G4527">
            <v>0.13524</v>
          </cell>
          <cell r="H4527">
            <v>-0.53351000000000004</v>
          </cell>
          <cell r="I4527">
            <v>0.94259999999999999</v>
          </cell>
          <cell r="J4527">
            <v>1.0025500000000001</v>
          </cell>
          <cell r="K4527">
            <v>-0.36016999999999999</v>
          </cell>
          <cell r="L4527">
            <v>-0.13294</v>
          </cell>
          <cell r="M4527">
            <v>0.19522</v>
          </cell>
          <cell r="N4527">
            <v>4.3800000000000002E-3</v>
          </cell>
          <cell r="O4527">
            <v>4.172E-2</v>
          </cell>
          <cell r="P4527">
            <v>-8.5889999999999994E-2</v>
          </cell>
          <cell r="Q4527">
            <v>-0.15991</v>
          </cell>
          <cell r="R4527">
            <v>-6.7470000000000002E-2</v>
          </cell>
          <cell r="S4527">
            <v>1.005E-2</v>
          </cell>
          <cell r="T4527">
            <v>-0.13205</v>
          </cell>
          <cell r="U4527">
            <v>1.2500000000000001E-2</v>
          </cell>
          <cell r="V4527">
            <v>-0.24928</v>
          </cell>
          <cell r="W4527">
            <v>-4.4830000000000002E-2</v>
          </cell>
          <cell r="Y4527">
            <v>0.32173000000000002</v>
          </cell>
          <cell r="Z4527">
            <v>0.59192999999999996</v>
          </cell>
          <cell r="AA4527">
            <v>-0.19361</v>
          </cell>
          <cell r="AB4527">
            <v>0.20635999999999999</v>
          </cell>
          <cell r="AC4527">
            <v>-1.312E-2</v>
          </cell>
          <cell r="AD4527">
            <v>-0.49553999999999998</v>
          </cell>
          <cell r="AE4527">
            <v>-0.12856999999999999</v>
          </cell>
          <cell r="AF4527">
            <v>2.7130000000000001E-2</v>
          </cell>
          <cell r="AG4527">
            <v>4.0090000000000001E-2</v>
          </cell>
          <cell r="AH4527">
            <v>7.8439999999999996E-2</v>
          </cell>
          <cell r="AI4527">
            <v>0.19871</v>
          </cell>
          <cell r="AJ4527">
            <v>6.7970000000000003E-2</v>
          </cell>
          <cell r="AK4527">
            <v>1.8429999999999998E-2</v>
          </cell>
          <cell r="AL4527">
            <v>-7.9189999999999997E-2</v>
          </cell>
          <cell r="AM4527">
            <v>-3.1489999999999997E-2</v>
          </cell>
          <cell r="AN4527">
            <v>5.5419999999999997E-2</v>
          </cell>
          <cell r="AO4527">
            <v>-6.6400000000000001E-3</v>
          </cell>
          <cell r="AP4527">
            <v>-6.7949999999999997E-2</v>
          </cell>
        </row>
        <row r="4528">
          <cell r="D4528" t="str">
            <v>粟島浦村</v>
          </cell>
          <cell r="E4528" t="str">
            <v>2040→2045</v>
          </cell>
          <cell r="F4528">
            <v>-0.16356000000000001</v>
          </cell>
          <cell r="G4528">
            <v>0.12756000000000001</v>
          </cell>
          <cell r="H4528">
            <v>-0.53893000000000002</v>
          </cell>
          <cell r="I4528">
            <v>0.77429999999999999</v>
          </cell>
          <cell r="J4528">
            <v>0.99839999999999995</v>
          </cell>
          <cell r="K4528">
            <v>-0.35630000000000001</v>
          </cell>
          <cell r="L4528">
            <v>-0.12545000000000001</v>
          </cell>
          <cell r="M4528">
            <v>0.20226</v>
          </cell>
          <cell r="N4528">
            <v>-2.4000000000000001E-4</v>
          </cell>
          <cell r="O4528">
            <v>4.1619999999999997E-2</v>
          </cell>
          <cell r="P4528">
            <v>-8.5610000000000006E-2</v>
          </cell>
          <cell r="Q4528">
            <v>-0.15992999999999999</v>
          </cell>
          <cell r="R4528">
            <v>-6.4960000000000004E-2</v>
          </cell>
          <cell r="S4528">
            <v>9.2999999999999992E-3</v>
          </cell>
          <cell r="T4528">
            <v>-0.13238</v>
          </cell>
          <cell r="U4528">
            <v>8.9700000000000005E-3</v>
          </cell>
          <cell r="V4528">
            <v>-0.25036999999999998</v>
          </cell>
          <cell r="W4528">
            <v>-0.1003</v>
          </cell>
          <cell r="Y4528">
            <v>0.31358000000000003</v>
          </cell>
          <cell r="Z4528">
            <v>0.56486999999999998</v>
          </cell>
          <cell r="AA4528">
            <v>-0.21401999999999999</v>
          </cell>
          <cell r="AB4528">
            <v>0.17349000000000001</v>
          </cell>
          <cell r="AC4528">
            <v>6.8900000000000003E-3</v>
          </cell>
          <cell r="AD4528">
            <v>-0.51043000000000005</v>
          </cell>
          <cell r="AE4528">
            <v>-0.13175000000000001</v>
          </cell>
          <cell r="AF4528">
            <v>2.6980000000000001E-2</v>
          </cell>
          <cell r="AG4528">
            <v>3.524E-2</v>
          </cell>
          <cell r="AH4528">
            <v>7.8329999999999997E-2</v>
          </cell>
          <cell r="AI4528">
            <v>0.20069000000000001</v>
          </cell>
          <cell r="AJ4528">
            <v>6.8049999999999999E-2</v>
          </cell>
          <cell r="AK4528">
            <v>1.6140000000000002E-2</v>
          </cell>
          <cell r="AL4528">
            <v>-7.9460000000000003E-2</v>
          </cell>
          <cell r="AM4528">
            <v>-3.1260000000000003E-2</v>
          </cell>
          <cell r="AN4528">
            <v>5.0819999999999997E-2</v>
          </cell>
          <cell r="AO4528">
            <v>-6.3E-3</v>
          </cell>
          <cell r="AP4528">
            <v>-8.6580000000000004E-2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4343">
          <cell r="D4343">
            <v>0</v>
          </cell>
          <cell r="E4343">
            <v>2020</v>
          </cell>
          <cell r="F4343">
            <v>0.19807</v>
          </cell>
          <cell r="G4343">
            <v>105.19616000000001</v>
          </cell>
        </row>
        <row r="4344">
          <cell r="D4344">
            <v>0</v>
          </cell>
          <cell r="E4344">
            <v>2025</v>
          </cell>
          <cell r="F4344">
            <v>0.19753000000000001</v>
          </cell>
          <cell r="G4344">
            <v>105.19695</v>
          </cell>
        </row>
        <row r="4345">
          <cell r="D4345">
            <v>0</v>
          </cell>
          <cell r="E4345">
            <v>2030</v>
          </cell>
          <cell r="F4345">
            <v>0.20380999999999999</v>
          </cell>
          <cell r="G4345">
            <v>105.19786000000001</v>
          </cell>
        </row>
        <row r="4346">
          <cell r="D4346">
            <v>0</v>
          </cell>
          <cell r="E4346">
            <v>2035</v>
          </cell>
          <cell r="F4346">
            <v>0.20815</v>
          </cell>
          <cell r="G4346">
            <v>105.19837</v>
          </cell>
        </row>
        <row r="4347">
          <cell r="D4347">
            <v>0</v>
          </cell>
          <cell r="E4347">
            <v>2040</v>
          </cell>
          <cell r="F4347">
            <v>0.20835000000000001</v>
          </cell>
          <cell r="G4347">
            <v>105.1994</v>
          </cell>
        </row>
        <row r="4348">
          <cell r="D4348">
            <v>0</v>
          </cell>
          <cell r="E4348">
            <v>2045</v>
          </cell>
          <cell r="F4348">
            <v>0.20655999999999999</v>
          </cell>
          <cell r="G4348">
            <v>105.20048</v>
          </cell>
        </row>
        <row r="4349">
          <cell r="D4349" t="str">
            <v>新潟市</v>
          </cell>
          <cell r="E4349">
            <v>2020</v>
          </cell>
          <cell r="F4349">
            <v>0.18664</v>
          </cell>
          <cell r="G4349">
            <v>105.19616000000001</v>
          </cell>
        </row>
        <row r="4350">
          <cell r="D4350" t="str">
            <v>新潟市</v>
          </cell>
          <cell r="E4350">
            <v>2025</v>
          </cell>
          <cell r="F4350">
            <v>0.18618999999999999</v>
          </cell>
          <cell r="G4350">
            <v>105.19695</v>
          </cell>
        </row>
        <row r="4351">
          <cell r="D4351" t="str">
            <v>新潟市</v>
          </cell>
          <cell r="E4351">
            <v>2030</v>
          </cell>
          <cell r="F4351">
            <v>0.19223999999999999</v>
          </cell>
          <cell r="G4351">
            <v>105.19786000000001</v>
          </cell>
        </row>
        <row r="4352">
          <cell r="D4352" t="str">
            <v>新潟市</v>
          </cell>
          <cell r="E4352">
            <v>2035</v>
          </cell>
          <cell r="F4352">
            <v>0.19647000000000001</v>
          </cell>
          <cell r="G4352">
            <v>105.19837</v>
          </cell>
        </row>
        <row r="4353">
          <cell r="D4353" t="str">
            <v>新潟市</v>
          </cell>
          <cell r="E4353">
            <v>2040</v>
          </cell>
          <cell r="F4353">
            <v>0.19678000000000001</v>
          </cell>
          <cell r="G4353">
            <v>105.1994</v>
          </cell>
        </row>
        <row r="4354">
          <cell r="D4354" t="str">
            <v>新潟市</v>
          </cell>
          <cell r="E4354">
            <v>2045</v>
          </cell>
          <cell r="F4354">
            <v>0.19519</v>
          </cell>
          <cell r="G4354">
            <v>105.20048</v>
          </cell>
        </row>
        <row r="4355">
          <cell r="D4355" t="str">
            <v>長岡市</v>
          </cell>
          <cell r="E4355">
            <v>2020</v>
          </cell>
          <cell r="F4355">
            <v>0.20554</v>
          </cell>
          <cell r="G4355">
            <v>105.19616000000001</v>
          </cell>
        </row>
        <row r="4356">
          <cell r="D4356" t="str">
            <v>長岡市</v>
          </cell>
          <cell r="E4356">
            <v>2025</v>
          </cell>
          <cell r="F4356">
            <v>0.20502999999999999</v>
          </cell>
          <cell r="G4356">
            <v>105.19695</v>
          </cell>
        </row>
        <row r="4357">
          <cell r="D4357" t="str">
            <v>長岡市</v>
          </cell>
          <cell r="E4357">
            <v>2030</v>
          </cell>
          <cell r="F4357">
            <v>0.21171000000000001</v>
          </cell>
          <cell r="G4357">
            <v>105.19786000000001</v>
          </cell>
        </row>
        <row r="4358">
          <cell r="D4358" t="str">
            <v>長岡市</v>
          </cell>
          <cell r="E4358">
            <v>2035</v>
          </cell>
          <cell r="F4358">
            <v>0.21637999999999999</v>
          </cell>
          <cell r="G4358">
            <v>105.19837</v>
          </cell>
        </row>
        <row r="4359">
          <cell r="D4359" t="str">
            <v>長岡市</v>
          </cell>
          <cell r="E4359">
            <v>2040</v>
          </cell>
          <cell r="F4359">
            <v>0.21668999999999999</v>
          </cell>
          <cell r="G4359">
            <v>105.1994</v>
          </cell>
        </row>
        <row r="4360">
          <cell r="D4360" t="str">
            <v>長岡市</v>
          </cell>
          <cell r="E4360">
            <v>2045</v>
          </cell>
          <cell r="F4360">
            <v>0.21495</v>
          </cell>
          <cell r="G4360">
            <v>105.20048</v>
          </cell>
        </row>
        <row r="4361">
          <cell r="D4361" t="str">
            <v>三条市</v>
          </cell>
          <cell r="E4361">
            <v>2020</v>
          </cell>
          <cell r="F4361">
            <v>0.19678000000000001</v>
          </cell>
          <cell r="G4361">
            <v>105.19616000000001</v>
          </cell>
        </row>
        <row r="4362">
          <cell r="D4362" t="str">
            <v>三条市</v>
          </cell>
          <cell r="E4362">
            <v>2025</v>
          </cell>
          <cell r="F4362">
            <v>0.19639000000000001</v>
          </cell>
          <cell r="G4362">
            <v>105.19695</v>
          </cell>
        </row>
        <row r="4363">
          <cell r="D4363" t="str">
            <v>三条市</v>
          </cell>
          <cell r="E4363">
            <v>2030</v>
          </cell>
          <cell r="F4363">
            <v>0.20266999999999999</v>
          </cell>
          <cell r="G4363">
            <v>105.19786000000001</v>
          </cell>
        </row>
        <row r="4364">
          <cell r="D4364" t="str">
            <v>三条市</v>
          </cell>
          <cell r="E4364">
            <v>2035</v>
          </cell>
          <cell r="F4364">
            <v>0.20724999999999999</v>
          </cell>
          <cell r="G4364">
            <v>105.19837</v>
          </cell>
        </row>
        <row r="4365">
          <cell r="D4365" t="str">
            <v>三条市</v>
          </cell>
          <cell r="E4365">
            <v>2040</v>
          </cell>
          <cell r="F4365">
            <v>0.20752999999999999</v>
          </cell>
          <cell r="G4365">
            <v>105.1994</v>
          </cell>
        </row>
        <row r="4366">
          <cell r="D4366" t="str">
            <v>三条市</v>
          </cell>
          <cell r="E4366">
            <v>2045</v>
          </cell>
          <cell r="F4366">
            <v>0.20585000000000001</v>
          </cell>
          <cell r="G4366">
            <v>105.20048</v>
          </cell>
        </row>
        <row r="4367">
          <cell r="D4367" t="str">
            <v>柏崎市</v>
          </cell>
          <cell r="E4367">
            <v>2020</v>
          </cell>
          <cell r="F4367">
            <v>0.20548</v>
          </cell>
          <cell r="G4367">
            <v>105.19616000000001</v>
          </cell>
        </row>
        <row r="4368">
          <cell r="D4368" t="str">
            <v>柏崎市</v>
          </cell>
          <cell r="E4368">
            <v>2025</v>
          </cell>
          <cell r="F4368">
            <v>0.20501</v>
          </cell>
          <cell r="G4368">
            <v>105.19695</v>
          </cell>
        </row>
        <row r="4369">
          <cell r="D4369" t="str">
            <v>柏崎市</v>
          </cell>
          <cell r="E4369">
            <v>2030</v>
          </cell>
          <cell r="F4369">
            <v>0.21163000000000001</v>
          </cell>
          <cell r="G4369">
            <v>105.19786000000001</v>
          </cell>
        </row>
        <row r="4370">
          <cell r="D4370" t="str">
            <v>柏崎市</v>
          </cell>
          <cell r="E4370">
            <v>2035</v>
          </cell>
          <cell r="F4370">
            <v>0.21623999999999999</v>
          </cell>
          <cell r="G4370">
            <v>105.19837</v>
          </cell>
        </row>
        <row r="4371">
          <cell r="D4371" t="str">
            <v>柏崎市</v>
          </cell>
          <cell r="E4371">
            <v>2040</v>
          </cell>
          <cell r="F4371">
            <v>0.21657000000000001</v>
          </cell>
          <cell r="G4371">
            <v>105.1994</v>
          </cell>
        </row>
        <row r="4372">
          <cell r="D4372" t="str">
            <v>柏崎市</v>
          </cell>
          <cell r="E4372">
            <v>2045</v>
          </cell>
          <cell r="F4372">
            <v>0.21495</v>
          </cell>
          <cell r="G4372">
            <v>105.20048</v>
          </cell>
        </row>
        <row r="4373">
          <cell r="D4373" t="str">
            <v>新発田市</v>
          </cell>
          <cell r="E4373">
            <v>2020</v>
          </cell>
          <cell r="F4373">
            <v>0.21045</v>
          </cell>
          <cell r="G4373">
            <v>105.19616000000001</v>
          </cell>
        </row>
        <row r="4374">
          <cell r="D4374" t="str">
            <v>新発田市</v>
          </cell>
          <cell r="E4374">
            <v>2025</v>
          </cell>
          <cell r="F4374">
            <v>0.20993000000000001</v>
          </cell>
          <cell r="G4374">
            <v>105.19695</v>
          </cell>
        </row>
        <row r="4375">
          <cell r="D4375" t="str">
            <v>新発田市</v>
          </cell>
          <cell r="E4375">
            <v>2030</v>
          </cell>
          <cell r="F4375">
            <v>0.21676000000000001</v>
          </cell>
          <cell r="G4375">
            <v>105.19786000000001</v>
          </cell>
        </row>
        <row r="4376">
          <cell r="D4376" t="str">
            <v>新発田市</v>
          </cell>
          <cell r="E4376">
            <v>2035</v>
          </cell>
          <cell r="F4376">
            <v>0.2215</v>
          </cell>
          <cell r="G4376">
            <v>105.19837</v>
          </cell>
        </row>
        <row r="4377">
          <cell r="D4377" t="str">
            <v>新発田市</v>
          </cell>
          <cell r="E4377">
            <v>2040</v>
          </cell>
          <cell r="F4377">
            <v>0.22184000000000001</v>
          </cell>
          <cell r="G4377">
            <v>105.1994</v>
          </cell>
        </row>
        <row r="4378">
          <cell r="D4378" t="str">
            <v>新発田市</v>
          </cell>
          <cell r="E4378">
            <v>2045</v>
          </cell>
          <cell r="F4378">
            <v>0.22012000000000001</v>
          </cell>
          <cell r="G4378">
            <v>105.20048</v>
          </cell>
        </row>
        <row r="4379">
          <cell r="D4379" t="str">
            <v>小千谷市</v>
          </cell>
          <cell r="E4379">
            <v>2020</v>
          </cell>
          <cell r="F4379">
            <v>0.20746999999999999</v>
          </cell>
          <cell r="G4379">
            <v>105.19616000000001</v>
          </cell>
        </row>
        <row r="4380">
          <cell r="D4380" t="str">
            <v>小千谷市</v>
          </cell>
          <cell r="E4380">
            <v>2025</v>
          </cell>
          <cell r="F4380">
            <v>0.20702999999999999</v>
          </cell>
          <cell r="G4380">
            <v>105.19695</v>
          </cell>
        </row>
        <row r="4381">
          <cell r="D4381" t="str">
            <v>小千谷市</v>
          </cell>
          <cell r="E4381">
            <v>2030</v>
          </cell>
          <cell r="F4381">
            <v>0.21387</v>
          </cell>
          <cell r="G4381">
            <v>105.19786000000001</v>
          </cell>
        </row>
        <row r="4382">
          <cell r="D4382" t="str">
            <v>小千谷市</v>
          </cell>
          <cell r="E4382">
            <v>2035</v>
          </cell>
          <cell r="F4382">
            <v>0.21843000000000001</v>
          </cell>
          <cell r="G4382">
            <v>105.19837</v>
          </cell>
        </row>
        <row r="4383">
          <cell r="D4383" t="str">
            <v>小千谷市</v>
          </cell>
          <cell r="E4383">
            <v>2040</v>
          </cell>
          <cell r="F4383">
            <v>0.21903</v>
          </cell>
          <cell r="G4383">
            <v>105.1994</v>
          </cell>
        </row>
        <row r="4384">
          <cell r="D4384" t="str">
            <v>小千谷市</v>
          </cell>
          <cell r="E4384">
            <v>2045</v>
          </cell>
          <cell r="F4384">
            <v>0.21717</v>
          </cell>
          <cell r="G4384">
            <v>105.20048</v>
          </cell>
        </row>
        <row r="4385">
          <cell r="D4385" t="str">
            <v>加茂市</v>
          </cell>
          <cell r="E4385">
            <v>2020</v>
          </cell>
          <cell r="F4385">
            <v>0.17743</v>
          </cell>
          <cell r="G4385">
            <v>105.19616000000001</v>
          </cell>
        </row>
        <row r="4386">
          <cell r="D4386" t="str">
            <v>加茂市</v>
          </cell>
          <cell r="E4386">
            <v>2025</v>
          </cell>
          <cell r="F4386">
            <v>0.17729</v>
          </cell>
          <cell r="G4386">
            <v>105.19695</v>
          </cell>
        </row>
        <row r="4387">
          <cell r="D4387" t="str">
            <v>加茂市</v>
          </cell>
          <cell r="E4387">
            <v>2030</v>
          </cell>
          <cell r="F4387">
            <v>0.18282999999999999</v>
          </cell>
          <cell r="G4387">
            <v>105.19786000000001</v>
          </cell>
        </row>
        <row r="4388">
          <cell r="D4388" t="str">
            <v>加茂市</v>
          </cell>
          <cell r="E4388">
            <v>2035</v>
          </cell>
          <cell r="F4388">
            <v>0.18720999999999999</v>
          </cell>
          <cell r="G4388">
            <v>105.19837</v>
          </cell>
        </row>
        <row r="4389">
          <cell r="D4389" t="str">
            <v>加茂市</v>
          </cell>
          <cell r="E4389">
            <v>2040</v>
          </cell>
          <cell r="F4389">
            <v>0.18729999999999999</v>
          </cell>
          <cell r="G4389">
            <v>105.1994</v>
          </cell>
        </row>
        <row r="4390">
          <cell r="D4390" t="str">
            <v>加茂市</v>
          </cell>
          <cell r="E4390">
            <v>2045</v>
          </cell>
          <cell r="F4390">
            <v>0.18582000000000001</v>
          </cell>
          <cell r="G4390">
            <v>105.20048</v>
          </cell>
        </row>
        <row r="4391">
          <cell r="D4391" t="str">
            <v>十日町市</v>
          </cell>
          <cell r="E4391">
            <v>2020</v>
          </cell>
          <cell r="F4391">
            <v>0.21656</v>
          </cell>
          <cell r="G4391">
            <v>105.19616000000001</v>
          </cell>
        </row>
        <row r="4392">
          <cell r="D4392" t="str">
            <v>十日町市</v>
          </cell>
          <cell r="E4392">
            <v>2025</v>
          </cell>
          <cell r="F4392">
            <v>0.21604999999999999</v>
          </cell>
          <cell r="G4392">
            <v>105.19695</v>
          </cell>
        </row>
        <row r="4393">
          <cell r="D4393" t="str">
            <v>十日町市</v>
          </cell>
          <cell r="E4393">
            <v>2030</v>
          </cell>
          <cell r="F4393">
            <v>0.22303000000000001</v>
          </cell>
          <cell r="G4393">
            <v>105.19786000000001</v>
          </cell>
        </row>
        <row r="4394">
          <cell r="D4394" t="str">
            <v>十日町市</v>
          </cell>
          <cell r="E4394">
            <v>2035</v>
          </cell>
          <cell r="F4394">
            <v>0.22786999999999999</v>
          </cell>
          <cell r="G4394">
            <v>105.19837</v>
          </cell>
        </row>
        <row r="4395">
          <cell r="D4395" t="str">
            <v>十日町市</v>
          </cell>
          <cell r="E4395">
            <v>2040</v>
          </cell>
          <cell r="F4395">
            <v>0.2283</v>
          </cell>
          <cell r="G4395">
            <v>105.1994</v>
          </cell>
        </row>
        <row r="4396">
          <cell r="D4396" t="str">
            <v>十日町市</v>
          </cell>
          <cell r="E4396">
            <v>2045</v>
          </cell>
          <cell r="F4396">
            <v>0.22642000000000001</v>
          </cell>
          <cell r="G4396">
            <v>105.20048</v>
          </cell>
        </row>
        <row r="4397">
          <cell r="D4397" t="str">
            <v>見附市</v>
          </cell>
          <cell r="E4397">
            <v>2020</v>
          </cell>
          <cell r="F4397">
            <v>0.20355999999999999</v>
          </cell>
          <cell r="G4397">
            <v>105.19616000000001</v>
          </cell>
        </row>
        <row r="4398">
          <cell r="D4398" t="str">
            <v>見附市</v>
          </cell>
          <cell r="E4398">
            <v>2025</v>
          </cell>
          <cell r="F4398">
            <v>0.20316000000000001</v>
          </cell>
          <cell r="G4398">
            <v>105.19695</v>
          </cell>
        </row>
        <row r="4399">
          <cell r="D4399" t="str">
            <v>見附市</v>
          </cell>
          <cell r="E4399">
            <v>2030</v>
          </cell>
          <cell r="F4399">
            <v>0.20957000000000001</v>
          </cell>
          <cell r="G4399">
            <v>105.19786000000001</v>
          </cell>
        </row>
        <row r="4400">
          <cell r="D4400" t="str">
            <v>見附市</v>
          </cell>
          <cell r="E4400">
            <v>2035</v>
          </cell>
          <cell r="F4400">
            <v>0.21440000000000001</v>
          </cell>
          <cell r="G4400">
            <v>105.19837</v>
          </cell>
        </row>
        <row r="4401">
          <cell r="D4401" t="str">
            <v>見附市</v>
          </cell>
          <cell r="E4401">
            <v>2040</v>
          </cell>
          <cell r="F4401">
            <v>0.21476000000000001</v>
          </cell>
          <cell r="G4401">
            <v>105.1994</v>
          </cell>
        </row>
        <row r="4402">
          <cell r="D4402" t="str">
            <v>見附市</v>
          </cell>
          <cell r="E4402">
            <v>2045</v>
          </cell>
          <cell r="F4402">
            <v>0.21288000000000001</v>
          </cell>
          <cell r="G4402">
            <v>105.20048</v>
          </cell>
        </row>
        <row r="4403">
          <cell r="D4403" t="str">
            <v>村上市</v>
          </cell>
          <cell r="E4403">
            <v>2020</v>
          </cell>
          <cell r="F4403">
            <v>0.19239999999999999</v>
          </cell>
          <cell r="G4403">
            <v>105.19616000000001</v>
          </cell>
        </row>
        <row r="4404">
          <cell r="D4404" t="str">
            <v>村上市</v>
          </cell>
          <cell r="E4404">
            <v>2025</v>
          </cell>
          <cell r="F4404">
            <v>0.19191</v>
          </cell>
          <cell r="G4404">
            <v>105.19695</v>
          </cell>
        </row>
        <row r="4405">
          <cell r="D4405" t="str">
            <v>村上市</v>
          </cell>
          <cell r="E4405">
            <v>2030</v>
          </cell>
          <cell r="F4405">
            <v>0.19818</v>
          </cell>
          <cell r="G4405">
            <v>105.19786000000001</v>
          </cell>
        </row>
        <row r="4406">
          <cell r="D4406" t="str">
            <v>村上市</v>
          </cell>
          <cell r="E4406">
            <v>2035</v>
          </cell>
          <cell r="F4406">
            <v>0.20233999999999999</v>
          </cell>
          <cell r="G4406">
            <v>105.19837</v>
          </cell>
        </row>
        <row r="4407">
          <cell r="D4407" t="str">
            <v>村上市</v>
          </cell>
          <cell r="E4407">
            <v>2040</v>
          </cell>
          <cell r="F4407">
            <v>0.20271</v>
          </cell>
          <cell r="G4407">
            <v>105.1994</v>
          </cell>
        </row>
        <row r="4408">
          <cell r="D4408" t="str">
            <v>村上市</v>
          </cell>
          <cell r="E4408">
            <v>2045</v>
          </cell>
          <cell r="F4408">
            <v>0.20116000000000001</v>
          </cell>
          <cell r="G4408">
            <v>105.20048</v>
          </cell>
        </row>
        <row r="4409">
          <cell r="D4409" t="str">
            <v>燕市</v>
          </cell>
          <cell r="E4409">
            <v>2020</v>
          </cell>
          <cell r="F4409">
            <v>0.19522999999999999</v>
          </cell>
          <cell r="G4409">
            <v>105.19616000000001</v>
          </cell>
        </row>
        <row r="4410">
          <cell r="D4410" t="str">
            <v>燕市</v>
          </cell>
          <cell r="E4410">
            <v>2025</v>
          </cell>
          <cell r="F4410">
            <v>0.19475999999999999</v>
          </cell>
          <cell r="G4410">
            <v>105.19695</v>
          </cell>
        </row>
        <row r="4411">
          <cell r="D4411" t="str">
            <v>燕市</v>
          </cell>
          <cell r="E4411">
            <v>2030</v>
          </cell>
          <cell r="F4411">
            <v>0.20115</v>
          </cell>
          <cell r="G4411">
            <v>105.19786000000001</v>
          </cell>
        </row>
        <row r="4412">
          <cell r="D4412" t="str">
            <v>燕市</v>
          </cell>
          <cell r="E4412">
            <v>2035</v>
          </cell>
          <cell r="F4412">
            <v>0.20544999999999999</v>
          </cell>
          <cell r="G4412">
            <v>105.19837</v>
          </cell>
        </row>
        <row r="4413">
          <cell r="D4413" t="str">
            <v>燕市</v>
          </cell>
          <cell r="E4413">
            <v>2040</v>
          </cell>
          <cell r="F4413">
            <v>0.20582</v>
          </cell>
          <cell r="G4413">
            <v>105.1994</v>
          </cell>
        </row>
        <row r="4414">
          <cell r="D4414" t="str">
            <v>燕市</v>
          </cell>
          <cell r="E4414">
            <v>2045</v>
          </cell>
          <cell r="F4414">
            <v>0.20416000000000001</v>
          </cell>
          <cell r="G4414">
            <v>105.20048</v>
          </cell>
        </row>
        <row r="4415">
          <cell r="D4415" t="str">
            <v>糸魚川市</v>
          </cell>
          <cell r="E4415">
            <v>2020</v>
          </cell>
          <cell r="F4415">
            <v>0.20307</v>
          </cell>
          <cell r="G4415">
            <v>105.19616000000001</v>
          </cell>
        </row>
        <row r="4416">
          <cell r="D4416" t="str">
            <v>糸魚川市</v>
          </cell>
          <cell r="E4416">
            <v>2025</v>
          </cell>
          <cell r="F4416">
            <v>0.20274</v>
          </cell>
          <cell r="G4416">
            <v>105.19695</v>
          </cell>
        </row>
        <row r="4417">
          <cell r="D4417" t="str">
            <v>糸魚川市</v>
          </cell>
          <cell r="E4417">
            <v>2030</v>
          </cell>
          <cell r="F4417">
            <v>0.20932000000000001</v>
          </cell>
          <cell r="G4417">
            <v>105.19786000000001</v>
          </cell>
        </row>
        <row r="4418">
          <cell r="D4418" t="str">
            <v>糸魚川市</v>
          </cell>
          <cell r="E4418">
            <v>2035</v>
          </cell>
          <cell r="F4418">
            <v>0.21387999999999999</v>
          </cell>
          <cell r="G4418">
            <v>105.19837</v>
          </cell>
        </row>
        <row r="4419">
          <cell r="D4419" t="str">
            <v>糸魚川市</v>
          </cell>
          <cell r="E4419">
            <v>2040</v>
          </cell>
          <cell r="F4419">
            <v>0.21432999999999999</v>
          </cell>
          <cell r="G4419">
            <v>105.1994</v>
          </cell>
        </row>
        <row r="4420">
          <cell r="D4420" t="str">
            <v>糸魚川市</v>
          </cell>
          <cell r="E4420">
            <v>2045</v>
          </cell>
          <cell r="F4420">
            <v>0.21262</v>
          </cell>
          <cell r="G4420">
            <v>105.20048</v>
          </cell>
        </row>
        <row r="4421">
          <cell r="D4421" t="str">
            <v>妙高市</v>
          </cell>
          <cell r="E4421">
            <v>2020</v>
          </cell>
          <cell r="F4421">
            <v>0.20421</v>
          </cell>
          <cell r="G4421">
            <v>105.19616000000001</v>
          </cell>
        </row>
        <row r="4422">
          <cell r="D4422" t="str">
            <v>妙高市</v>
          </cell>
          <cell r="E4422">
            <v>2025</v>
          </cell>
          <cell r="F4422">
            <v>0.20377000000000001</v>
          </cell>
          <cell r="G4422">
            <v>105.19695</v>
          </cell>
        </row>
        <row r="4423">
          <cell r="D4423" t="str">
            <v>妙高市</v>
          </cell>
          <cell r="E4423">
            <v>2030</v>
          </cell>
          <cell r="F4423">
            <v>0.21049999999999999</v>
          </cell>
          <cell r="G4423">
            <v>105.19786000000001</v>
          </cell>
        </row>
        <row r="4424">
          <cell r="D4424" t="str">
            <v>妙高市</v>
          </cell>
          <cell r="E4424">
            <v>2035</v>
          </cell>
          <cell r="F4424">
            <v>0.21495</v>
          </cell>
          <cell r="G4424">
            <v>105.19837</v>
          </cell>
        </row>
        <row r="4425">
          <cell r="D4425" t="str">
            <v>妙高市</v>
          </cell>
          <cell r="E4425">
            <v>2040</v>
          </cell>
          <cell r="F4425">
            <v>0.21529000000000001</v>
          </cell>
          <cell r="G4425">
            <v>105.1994</v>
          </cell>
        </row>
        <row r="4426">
          <cell r="D4426" t="str">
            <v>妙高市</v>
          </cell>
          <cell r="E4426">
            <v>2045</v>
          </cell>
          <cell r="F4426">
            <v>0.21364</v>
          </cell>
          <cell r="G4426">
            <v>105.20048</v>
          </cell>
        </row>
        <row r="4427">
          <cell r="D4427" t="str">
            <v>五泉市</v>
          </cell>
          <cell r="E4427">
            <v>2020</v>
          </cell>
          <cell r="F4427">
            <v>0.18729999999999999</v>
          </cell>
          <cell r="G4427">
            <v>105.19616000000001</v>
          </cell>
        </row>
        <row r="4428">
          <cell r="D4428" t="str">
            <v>五泉市</v>
          </cell>
          <cell r="E4428">
            <v>2025</v>
          </cell>
          <cell r="F4428">
            <v>0.18692</v>
          </cell>
          <cell r="G4428">
            <v>105.19695</v>
          </cell>
        </row>
        <row r="4429">
          <cell r="D4429" t="str">
            <v>五泉市</v>
          </cell>
          <cell r="E4429">
            <v>2030</v>
          </cell>
          <cell r="F4429">
            <v>0.19295999999999999</v>
          </cell>
          <cell r="G4429">
            <v>105.19786000000001</v>
          </cell>
        </row>
        <row r="4430">
          <cell r="D4430" t="str">
            <v>五泉市</v>
          </cell>
          <cell r="E4430">
            <v>2035</v>
          </cell>
          <cell r="F4430">
            <v>0.19714999999999999</v>
          </cell>
          <cell r="G4430">
            <v>105.19837</v>
          </cell>
        </row>
        <row r="4431">
          <cell r="D4431" t="str">
            <v>五泉市</v>
          </cell>
          <cell r="E4431">
            <v>2040</v>
          </cell>
          <cell r="F4431">
            <v>0.19744999999999999</v>
          </cell>
          <cell r="G4431">
            <v>105.1994</v>
          </cell>
        </row>
        <row r="4432">
          <cell r="D4432" t="str">
            <v>五泉市</v>
          </cell>
          <cell r="E4432">
            <v>2045</v>
          </cell>
          <cell r="F4432">
            <v>0.19608999999999999</v>
          </cell>
          <cell r="G4432">
            <v>105.20048</v>
          </cell>
        </row>
        <row r="4433">
          <cell r="D4433" t="str">
            <v>上越市</v>
          </cell>
          <cell r="E4433">
            <v>2020</v>
          </cell>
          <cell r="F4433">
            <v>0.21539</v>
          </cell>
          <cell r="G4433">
            <v>105.19616000000001</v>
          </cell>
        </row>
        <row r="4434">
          <cell r="D4434" t="str">
            <v>上越市</v>
          </cell>
          <cell r="E4434">
            <v>2025</v>
          </cell>
          <cell r="F4434">
            <v>0.21489</v>
          </cell>
          <cell r="G4434">
            <v>105.19695</v>
          </cell>
        </row>
        <row r="4435">
          <cell r="D4435" t="str">
            <v>上越市</v>
          </cell>
          <cell r="E4435">
            <v>2030</v>
          </cell>
          <cell r="F4435">
            <v>0.22187000000000001</v>
          </cell>
          <cell r="G4435">
            <v>105.19786000000001</v>
          </cell>
        </row>
        <row r="4436">
          <cell r="D4436" t="str">
            <v>上越市</v>
          </cell>
          <cell r="E4436">
            <v>2035</v>
          </cell>
          <cell r="F4436">
            <v>0.22670999999999999</v>
          </cell>
          <cell r="G4436">
            <v>105.19837</v>
          </cell>
        </row>
        <row r="4437">
          <cell r="D4437" t="str">
            <v>上越市</v>
          </cell>
          <cell r="E4437">
            <v>2040</v>
          </cell>
          <cell r="F4437">
            <v>0.22711000000000001</v>
          </cell>
          <cell r="G4437">
            <v>105.1994</v>
          </cell>
        </row>
        <row r="4438">
          <cell r="D4438" t="str">
            <v>上越市</v>
          </cell>
          <cell r="E4438">
            <v>2045</v>
          </cell>
          <cell r="F4438">
            <v>0.22527</v>
          </cell>
          <cell r="G4438">
            <v>105.20048</v>
          </cell>
        </row>
        <row r="4439">
          <cell r="D4439" t="str">
            <v>阿賀野市</v>
          </cell>
          <cell r="E4439">
            <v>2020</v>
          </cell>
          <cell r="F4439">
            <v>0.19314000000000001</v>
          </cell>
          <cell r="G4439">
            <v>105.19616000000001</v>
          </cell>
        </row>
        <row r="4440">
          <cell r="D4440" t="str">
            <v>阿賀野市</v>
          </cell>
          <cell r="E4440">
            <v>2025</v>
          </cell>
          <cell r="F4440">
            <v>0.19263</v>
          </cell>
          <cell r="G4440">
            <v>105.19695</v>
          </cell>
        </row>
        <row r="4441">
          <cell r="D4441" t="str">
            <v>阿賀野市</v>
          </cell>
          <cell r="E4441">
            <v>2030</v>
          </cell>
          <cell r="F4441">
            <v>0.19897000000000001</v>
          </cell>
          <cell r="G4441">
            <v>105.19786000000001</v>
          </cell>
        </row>
        <row r="4442">
          <cell r="D4442" t="str">
            <v>阿賀野市</v>
          </cell>
          <cell r="E4442">
            <v>2035</v>
          </cell>
          <cell r="F4442">
            <v>0.20326</v>
          </cell>
          <cell r="G4442">
            <v>105.19837</v>
          </cell>
        </row>
        <row r="4443">
          <cell r="D4443" t="str">
            <v>阿賀野市</v>
          </cell>
          <cell r="E4443">
            <v>2040</v>
          </cell>
          <cell r="F4443">
            <v>0.20347000000000001</v>
          </cell>
          <cell r="G4443">
            <v>105.1994</v>
          </cell>
        </row>
        <row r="4444">
          <cell r="D4444" t="str">
            <v>阿賀野市</v>
          </cell>
          <cell r="E4444">
            <v>2045</v>
          </cell>
          <cell r="F4444">
            <v>0.20191000000000001</v>
          </cell>
          <cell r="G4444">
            <v>105.20048</v>
          </cell>
        </row>
        <row r="4445">
          <cell r="D4445" t="str">
            <v>佐渡市</v>
          </cell>
          <cell r="E4445">
            <v>2020</v>
          </cell>
          <cell r="F4445">
            <v>0.23352999999999999</v>
          </cell>
          <cell r="G4445">
            <v>105.19616000000001</v>
          </cell>
        </row>
        <row r="4446">
          <cell r="D4446" t="str">
            <v>佐渡市</v>
          </cell>
          <cell r="E4446">
            <v>2025</v>
          </cell>
          <cell r="F4446">
            <v>0.23299</v>
          </cell>
          <cell r="G4446">
            <v>105.19695</v>
          </cell>
        </row>
        <row r="4447">
          <cell r="D4447" t="str">
            <v>佐渡市</v>
          </cell>
          <cell r="E4447">
            <v>2030</v>
          </cell>
          <cell r="F4447">
            <v>0.24038999999999999</v>
          </cell>
          <cell r="G4447">
            <v>105.19786000000001</v>
          </cell>
        </row>
        <row r="4448">
          <cell r="D4448" t="str">
            <v>佐渡市</v>
          </cell>
          <cell r="E4448">
            <v>2035</v>
          </cell>
          <cell r="F4448">
            <v>0.24585000000000001</v>
          </cell>
          <cell r="G4448">
            <v>105.19837</v>
          </cell>
        </row>
        <row r="4449">
          <cell r="D4449" t="str">
            <v>佐渡市</v>
          </cell>
          <cell r="E4449">
            <v>2040</v>
          </cell>
          <cell r="F4449">
            <v>0.24629999999999999</v>
          </cell>
          <cell r="G4449">
            <v>105.1994</v>
          </cell>
        </row>
        <row r="4450">
          <cell r="D4450" t="str">
            <v>佐渡市</v>
          </cell>
          <cell r="E4450">
            <v>2045</v>
          </cell>
          <cell r="F4450">
            <v>0.24406</v>
          </cell>
          <cell r="G4450">
            <v>105.20048</v>
          </cell>
        </row>
        <row r="4451">
          <cell r="D4451" t="str">
            <v>魚沼市</v>
          </cell>
          <cell r="E4451">
            <v>2020</v>
          </cell>
          <cell r="F4451">
            <v>0.19453999999999999</v>
          </cell>
          <cell r="G4451">
            <v>105.19616000000001</v>
          </cell>
        </row>
        <row r="4452">
          <cell r="D4452" t="str">
            <v>魚沼市</v>
          </cell>
          <cell r="E4452">
            <v>2025</v>
          </cell>
          <cell r="F4452">
            <v>0.19394</v>
          </cell>
          <cell r="G4452">
            <v>105.19695</v>
          </cell>
        </row>
        <row r="4453">
          <cell r="D4453" t="str">
            <v>魚沼市</v>
          </cell>
          <cell r="E4453">
            <v>2030</v>
          </cell>
          <cell r="F4453">
            <v>0.20027</v>
          </cell>
          <cell r="G4453">
            <v>105.19786000000001</v>
          </cell>
        </row>
        <row r="4454">
          <cell r="D4454" t="str">
            <v>魚沼市</v>
          </cell>
          <cell r="E4454">
            <v>2035</v>
          </cell>
          <cell r="F4454">
            <v>0.20473</v>
          </cell>
          <cell r="G4454">
            <v>105.19837</v>
          </cell>
        </row>
        <row r="4455">
          <cell r="D4455" t="str">
            <v>魚沼市</v>
          </cell>
          <cell r="E4455">
            <v>2040</v>
          </cell>
          <cell r="F4455">
            <v>0.2049</v>
          </cell>
          <cell r="G4455">
            <v>105.1994</v>
          </cell>
        </row>
        <row r="4456">
          <cell r="D4456" t="str">
            <v>魚沼市</v>
          </cell>
          <cell r="E4456">
            <v>2045</v>
          </cell>
          <cell r="F4456">
            <v>0.20343</v>
          </cell>
          <cell r="G4456">
            <v>105.20048</v>
          </cell>
        </row>
        <row r="4457">
          <cell r="D4457" t="str">
            <v>南魚沼市</v>
          </cell>
          <cell r="E4457">
            <v>2020</v>
          </cell>
          <cell r="F4457">
            <v>0.21423</v>
          </cell>
          <cell r="G4457">
            <v>105.19616000000001</v>
          </cell>
        </row>
        <row r="4458">
          <cell r="D4458" t="str">
            <v>南魚沼市</v>
          </cell>
          <cell r="E4458">
            <v>2025</v>
          </cell>
          <cell r="F4458">
            <v>0.21375</v>
          </cell>
          <cell r="G4458">
            <v>105.19695</v>
          </cell>
        </row>
        <row r="4459">
          <cell r="D4459" t="str">
            <v>南魚沼市</v>
          </cell>
          <cell r="E4459">
            <v>2030</v>
          </cell>
          <cell r="F4459">
            <v>0.22069</v>
          </cell>
          <cell r="G4459">
            <v>105.19786000000001</v>
          </cell>
        </row>
        <row r="4460">
          <cell r="D4460" t="str">
            <v>南魚沼市</v>
          </cell>
          <cell r="E4460">
            <v>2035</v>
          </cell>
          <cell r="F4460">
            <v>0.22542999999999999</v>
          </cell>
          <cell r="G4460">
            <v>105.19837</v>
          </cell>
        </row>
        <row r="4461">
          <cell r="D4461" t="str">
            <v>南魚沼市</v>
          </cell>
          <cell r="E4461">
            <v>2040</v>
          </cell>
          <cell r="F4461">
            <v>0.22589999999999999</v>
          </cell>
          <cell r="G4461">
            <v>105.1994</v>
          </cell>
        </row>
        <row r="4462">
          <cell r="D4462" t="str">
            <v>南魚沼市</v>
          </cell>
          <cell r="E4462">
            <v>2045</v>
          </cell>
          <cell r="F4462">
            <v>0.22413</v>
          </cell>
          <cell r="G4462">
            <v>105.20048</v>
          </cell>
        </row>
        <row r="4463">
          <cell r="D4463" t="str">
            <v>胎内市</v>
          </cell>
          <cell r="E4463">
            <v>2020</v>
          </cell>
          <cell r="F4463">
            <v>0.21068999999999999</v>
          </cell>
          <cell r="G4463">
            <v>105.19616000000001</v>
          </cell>
        </row>
        <row r="4464">
          <cell r="D4464" t="str">
            <v>胎内市</v>
          </cell>
          <cell r="E4464">
            <v>2025</v>
          </cell>
          <cell r="F4464">
            <v>0.21002999999999999</v>
          </cell>
          <cell r="G4464">
            <v>105.19695</v>
          </cell>
        </row>
        <row r="4465">
          <cell r="D4465" t="str">
            <v>胎内市</v>
          </cell>
          <cell r="E4465">
            <v>2030</v>
          </cell>
          <cell r="F4465">
            <v>0.21714</v>
          </cell>
          <cell r="G4465">
            <v>105.19786000000001</v>
          </cell>
        </row>
        <row r="4466">
          <cell r="D4466" t="str">
            <v>胎内市</v>
          </cell>
          <cell r="E4466">
            <v>2035</v>
          </cell>
          <cell r="F4466">
            <v>0.22172</v>
          </cell>
          <cell r="G4466">
            <v>105.19837</v>
          </cell>
        </row>
        <row r="4467">
          <cell r="D4467" t="str">
            <v>胎内市</v>
          </cell>
          <cell r="E4467">
            <v>2040</v>
          </cell>
          <cell r="F4467">
            <v>0.22233</v>
          </cell>
          <cell r="G4467">
            <v>105.1994</v>
          </cell>
        </row>
        <row r="4468">
          <cell r="D4468" t="str">
            <v>胎内市</v>
          </cell>
          <cell r="E4468">
            <v>2045</v>
          </cell>
          <cell r="F4468">
            <v>0.22044</v>
          </cell>
          <cell r="G4468">
            <v>105.20048</v>
          </cell>
        </row>
        <row r="4469">
          <cell r="D4469" t="str">
            <v>聖籠町</v>
          </cell>
          <cell r="E4469">
            <v>2020</v>
          </cell>
          <cell r="F4469">
            <v>0.26097999999999999</v>
          </cell>
          <cell r="G4469">
            <v>105.19616000000001</v>
          </cell>
        </row>
        <row r="4470">
          <cell r="D4470" t="str">
            <v>聖籠町</v>
          </cell>
          <cell r="E4470">
            <v>2025</v>
          </cell>
          <cell r="F4470">
            <v>0.26036999999999999</v>
          </cell>
          <cell r="G4470">
            <v>105.19695</v>
          </cell>
        </row>
        <row r="4471">
          <cell r="D4471" t="str">
            <v>聖籠町</v>
          </cell>
          <cell r="E4471">
            <v>2030</v>
          </cell>
          <cell r="F4471">
            <v>0.26873999999999998</v>
          </cell>
          <cell r="G4471">
            <v>105.19786000000001</v>
          </cell>
        </row>
        <row r="4472">
          <cell r="D4472" t="str">
            <v>聖籠町</v>
          </cell>
          <cell r="E4472">
            <v>2035</v>
          </cell>
          <cell r="F4472">
            <v>0.27464</v>
          </cell>
          <cell r="G4472">
            <v>105.19837</v>
          </cell>
        </row>
        <row r="4473">
          <cell r="D4473" t="str">
            <v>聖籠町</v>
          </cell>
          <cell r="E4473">
            <v>2040</v>
          </cell>
          <cell r="F4473">
            <v>0.27555000000000002</v>
          </cell>
          <cell r="G4473">
            <v>105.1994</v>
          </cell>
        </row>
        <row r="4474">
          <cell r="D4474" t="str">
            <v>聖籠町</v>
          </cell>
          <cell r="E4474">
            <v>2045</v>
          </cell>
          <cell r="F4474">
            <v>0.2732</v>
          </cell>
          <cell r="G4474">
            <v>105.20048</v>
          </cell>
        </row>
        <row r="4475">
          <cell r="D4475" t="str">
            <v>弥彦村</v>
          </cell>
          <cell r="E4475">
            <v>2020</v>
          </cell>
          <cell r="F4475">
            <v>0.20533000000000001</v>
          </cell>
          <cell r="G4475">
            <v>105.19616000000001</v>
          </cell>
        </row>
        <row r="4476">
          <cell r="D4476" t="str">
            <v>弥彦村</v>
          </cell>
          <cell r="E4476">
            <v>2025</v>
          </cell>
          <cell r="F4476">
            <v>0.20433000000000001</v>
          </cell>
          <cell r="G4476">
            <v>105.19695</v>
          </cell>
        </row>
        <row r="4477">
          <cell r="D4477" t="str">
            <v>弥彦村</v>
          </cell>
          <cell r="E4477">
            <v>2030</v>
          </cell>
          <cell r="F4477">
            <v>0.21110000000000001</v>
          </cell>
          <cell r="G4477">
            <v>105.19786000000001</v>
          </cell>
        </row>
        <row r="4478">
          <cell r="D4478" t="str">
            <v>弥彦村</v>
          </cell>
          <cell r="E4478">
            <v>2035</v>
          </cell>
          <cell r="F4478">
            <v>0.21572</v>
          </cell>
          <cell r="G4478">
            <v>105.19837</v>
          </cell>
        </row>
        <row r="4479">
          <cell r="D4479" t="str">
            <v>弥彦村</v>
          </cell>
          <cell r="E4479">
            <v>2040</v>
          </cell>
          <cell r="F4479">
            <v>0.21581</v>
          </cell>
          <cell r="G4479">
            <v>105.1994</v>
          </cell>
        </row>
        <row r="4480">
          <cell r="D4480" t="str">
            <v>弥彦村</v>
          </cell>
          <cell r="E4480">
            <v>2045</v>
          </cell>
          <cell r="F4480">
            <v>0.21529999999999999</v>
          </cell>
          <cell r="G4480">
            <v>105.20048</v>
          </cell>
        </row>
        <row r="4481">
          <cell r="D4481" t="str">
            <v>田上町</v>
          </cell>
          <cell r="E4481">
            <v>2020</v>
          </cell>
          <cell r="F4481">
            <v>0.16331999999999999</v>
          </cell>
          <cell r="G4481">
            <v>105.19616000000001</v>
          </cell>
        </row>
        <row r="4482">
          <cell r="D4482" t="str">
            <v>田上町</v>
          </cell>
          <cell r="E4482">
            <v>2025</v>
          </cell>
          <cell r="F4482">
            <v>0.16275000000000001</v>
          </cell>
          <cell r="G4482">
            <v>105.19695</v>
          </cell>
        </row>
        <row r="4483">
          <cell r="D4483" t="str">
            <v>田上町</v>
          </cell>
          <cell r="E4483">
            <v>2030</v>
          </cell>
          <cell r="F4483">
            <v>0.16874</v>
          </cell>
          <cell r="G4483">
            <v>105.19786000000001</v>
          </cell>
        </row>
        <row r="4484">
          <cell r="D4484" t="str">
            <v>田上町</v>
          </cell>
          <cell r="E4484">
            <v>2035</v>
          </cell>
          <cell r="F4484">
            <v>0.17257</v>
          </cell>
          <cell r="G4484">
            <v>105.19837</v>
          </cell>
        </row>
        <row r="4485">
          <cell r="D4485" t="str">
            <v>田上町</v>
          </cell>
          <cell r="E4485">
            <v>2040</v>
          </cell>
          <cell r="F4485">
            <v>0.17255999999999999</v>
          </cell>
          <cell r="G4485">
            <v>105.1994</v>
          </cell>
        </row>
        <row r="4486">
          <cell r="D4486" t="str">
            <v>田上町</v>
          </cell>
          <cell r="E4486">
            <v>2045</v>
          </cell>
          <cell r="F4486">
            <v>0.17122000000000001</v>
          </cell>
          <cell r="G4486">
            <v>105.20048</v>
          </cell>
        </row>
        <row r="4487">
          <cell r="D4487" t="str">
            <v>阿賀町</v>
          </cell>
          <cell r="E4487">
            <v>2020</v>
          </cell>
          <cell r="F4487">
            <v>0.19814000000000001</v>
          </cell>
          <cell r="G4487">
            <v>105.19616000000001</v>
          </cell>
        </row>
        <row r="4488">
          <cell r="D4488" t="str">
            <v>阿賀町</v>
          </cell>
          <cell r="E4488">
            <v>2025</v>
          </cell>
          <cell r="F4488">
            <v>0.19711999999999999</v>
          </cell>
          <cell r="G4488">
            <v>105.19695</v>
          </cell>
        </row>
        <row r="4489">
          <cell r="D4489" t="str">
            <v>阿賀町</v>
          </cell>
          <cell r="E4489">
            <v>2030</v>
          </cell>
          <cell r="F4489">
            <v>0.20286000000000001</v>
          </cell>
          <cell r="G4489">
            <v>105.19786000000001</v>
          </cell>
        </row>
        <row r="4490">
          <cell r="D4490" t="str">
            <v>阿賀町</v>
          </cell>
          <cell r="E4490">
            <v>2035</v>
          </cell>
          <cell r="F4490">
            <v>0.20719000000000001</v>
          </cell>
          <cell r="G4490">
            <v>105.19837</v>
          </cell>
        </row>
        <row r="4491">
          <cell r="D4491" t="str">
            <v>阿賀町</v>
          </cell>
          <cell r="E4491">
            <v>2040</v>
          </cell>
          <cell r="F4491">
            <v>0.20746999999999999</v>
          </cell>
          <cell r="G4491">
            <v>105.1994</v>
          </cell>
        </row>
        <row r="4492">
          <cell r="D4492" t="str">
            <v>阿賀町</v>
          </cell>
          <cell r="E4492">
            <v>2045</v>
          </cell>
          <cell r="F4492">
            <v>0.20513000000000001</v>
          </cell>
          <cell r="G4492">
            <v>105.20048</v>
          </cell>
        </row>
        <row r="4493">
          <cell r="D4493" t="str">
            <v>出雲崎町</v>
          </cell>
          <cell r="E4493">
            <v>2020</v>
          </cell>
          <cell r="F4493">
            <v>0.19888</v>
          </cell>
          <cell r="G4493">
            <v>105.19616000000001</v>
          </cell>
        </row>
        <row r="4494">
          <cell r="D4494" t="str">
            <v>出雲崎町</v>
          </cell>
          <cell r="E4494">
            <v>2025</v>
          </cell>
          <cell r="F4494">
            <v>0.19917000000000001</v>
          </cell>
          <cell r="G4494">
            <v>105.19695</v>
          </cell>
        </row>
        <row r="4495">
          <cell r="D4495" t="str">
            <v>出雲崎町</v>
          </cell>
          <cell r="E4495">
            <v>2030</v>
          </cell>
          <cell r="F4495">
            <v>0.20408000000000001</v>
          </cell>
          <cell r="G4495">
            <v>105.19786000000001</v>
          </cell>
        </row>
        <row r="4496">
          <cell r="D4496" t="str">
            <v>出雲崎町</v>
          </cell>
          <cell r="E4496">
            <v>2035</v>
          </cell>
          <cell r="F4496">
            <v>0.20942</v>
          </cell>
          <cell r="G4496">
            <v>105.19837</v>
          </cell>
        </row>
        <row r="4497">
          <cell r="D4497" t="str">
            <v>出雲崎町</v>
          </cell>
          <cell r="E4497">
            <v>2040</v>
          </cell>
          <cell r="F4497">
            <v>0.21021000000000001</v>
          </cell>
          <cell r="G4497">
            <v>105.1994</v>
          </cell>
        </row>
        <row r="4498">
          <cell r="D4498" t="str">
            <v>出雲崎町</v>
          </cell>
          <cell r="E4498">
            <v>2045</v>
          </cell>
          <cell r="F4498">
            <v>0.20818999999999999</v>
          </cell>
          <cell r="G4498">
            <v>105.20048</v>
          </cell>
        </row>
        <row r="4499">
          <cell r="D4499" t="str">
            <v>湯沢町</v>
          </cell>
          <cell r="E4499">
            <v>2020</v>
          </cell>
          <cell r="F4499">
            <v>0.18015999999999999</v>
          </cell>
          <cell r="G4499">
            <v>105.19616000000001</v>
          </cell>
        </row>
        <row r="4500">
          <cell r="D4500" t="str">
            <v>湯沢町</v>
          </cell>
          <cell r="E4500">
            <v>2025</v>
          </cell>
          <cell r="F4500">
            <v>0.18</v>
          </cell>
          <cell r="G4500">
            <v>105.19695</v>
          </cell>
        </row>
        <row r="4501">
          <cell r="D4501" t="str">
            <v>湯沢町</v>
          </cell>
          <cell r="E4501">
            <v>2030</v>
          </cell>
          <cell r="F4501">
            <v>0.18509999999999999</v>
          </cell>
          <cell r="G4501">
            <v>105.19786000000001</v>
          </cell>
        </row>
        <row r="4502">
          <cell r="D4502" t="str">
            <v>湯沢町</v>
          </cell>
          <cell r="E4502">
            <v>2035</v>
          </cell>
          <cell r="F4502">
            <v>0.18983</v>
          </cell>
          <cell r="G4502">
            <v>105.19837</v>
          </cell>
        </row>
        <row r="4503">
          <cell r="D4503" t="str">
            <v>湯沢町</v>
          </cell>
          <cell r="E4503">
            <v>2040</v>
          </cell>
          <cell r="F4503">
            <v>0.19022</v>
          </cell>
          <cell r="G4503">
            <v>105.1994</v>
          </cell>
        </row>
        <row r="4504">
          <cell r="D4504" t="str">
            <v>湯沢町</v>
          </cell>
          <cell r="E4504">
            <v>2045</v>
          </cell>
          <cell r="F4504">
            <v>0.18836</v>
          </cell>
          <cell r="G4504">
            <v>105.20048</v>
          </cell>
        </row>
        <row r="4505">
          <cell r="D4505" t="str">
            <v>津南町</v>
          </cell>
          <cell r="E4505">
            <v>2020</v>
          </cell>
          <cell r="F4505">
            <v>0.21845999999999999</v>
          </cell>
          <cell r="G4505">
            <v>105.19616000000001</v>
          </cell>
        </row>
        <row r="4506">
          <cell r="D4506" t="str">
            <v>津南町</v>
          </cell>
          <cell r="E4506">
            <v>2025</v>
          </cell>
          <cell r="F4506">
            <v>0.21806</v>
          </cell>
          <cell r="G4506">
            <v>105.19695</v>
          </cell>
        </row>
        <row r="4507">
          <cell r="D4507" t="str">
            <v>津南町</v>
          </cell>
          <cell r="E4507">
            <v>2030</v>
          </cell>
          <cell r="F4507">
            <v>0.22473000000000001</v>
          </cell>
          <cell r="G4507">
            <v>105.19786000000001</v>
          </cell>
        </row>
        <row r="4508">
          <cell r="D4508" t="str">
            <v>津南町</v>
          </cell>
          <cell r="E4508">
            <v>2035</v>
          </cell>
          <cell r="F4508">
            <v>0.23105000000000001</v>
          </cell>
          <cell r="G4508">
            <v>105.19837</v>
          </cell>
        </row>
        <row r="4509">
          <cell r="D4509" t="str">
            <v>津南町</v>
          </cell>
          <cell r="E4509">
            <v>2040</v>
          </cell>
          <cell r="F4509">
            <v>0.23033999999999999</v>
          </cell>
          <cell r="G4509">
            <v>105.1994</v>
          </cell>
        </row>
        <row r="4510">
          <cell r="D4510" t="str">
            <v>津南町</v>
          </cell>
          <cell r="E4510">
            <v>2045</v>
          </cell>
          <cell r="F4510">
            <v>0.22764000000000001</v>
          </cell>
          <cell r="G4510">
            <v>105.20048</v>
          </cell>
        </row>
        <row r="4511">
          <cell r="D4511" t="str">
            <v>刈羽村</v>
          </cell>
          <cell r="E4511">
            <v>2020</v>
          </cell>
          <cell r="F4511">
            <v>0.26103999999999999</v>
          </cell>
          <cell r="G4511">
            <v>105.19616000000001</v>
          </cell>
        </row>
        <row r="4512">
          <cell r="D4512" t="str">
            <v>刈羽村</v>
          </cell>
          <cell r="E4512">
            <v>2025</v>
          </cell>
          <cell r="F4512">
            <v>0.26</v>
          </cell>
          <cell r="G4512">
            <v>105.19695</v>
          </cell>
        </row>
        <row r="4513">
          <cell r="D4513" t="str">
            <v>刈羽村</v>
          </cell>
          <cell r="E4513">
            <v>2030</v>
          </cell>
          <cell r="F4513">
            <v>0.26939000000000002</v>
          </cell>
          <cell r="G4513">
            <v>105.19786000000001</v>
          </cell>
        </row>
        <row r="4514">
          <cell r="D4514" t="str">
            <v>刈羽村</v>
          </cell>
          <cell r="E4514">
            <v>2035</v>
          </cell>
          <cell r="F4514">
            <v>0.27448</v>
          </cell>
          <cell r="G4514">
            <v>105.19837</v>
          </cell>
        </row>
        <row r="4515">
          <cell r="D4515" t="str">
            <v>刈羽村</v>
          </cell>
          <cell r="E4515">
            <v>2040</v>
          </cell>
          <cell r="F4515">
            <v>0.27500000000000002</v>
          </cell>
          <cell r="G4515">
            <v>105.1994</v>
          </cell>
        </row>
        <row r="4516">
          <cell r="D4516" t="str">
            <v>刈羽村</v>
          </cell>
          <cell r="E4516">
            <v>2045</v>
          </cell>
          <cell r="F4516">
            <v>0.27348</v>
          </cell>
          <cell r="G4516">
            <v>105.20048</v>
          </cell>
        </row>
        <row r="4517">
          <cell r="D4517" t="str">
            <v>関川村</v>
          </cell>
          <cell r="E4517">
            <v>2020</v>
          </cell>
          <cell r="F4517">
            <v>0.20882000000000001</v>
          </cell>
          <cell r="G4517">
            <v>105.19616000000001</v>
          </cell>
        </row>
        <row r="4518">
          <cell r="D4518" t="str">
            <v>関川村</v>
          </cell>
          <cell r="E4518">
            <v>2025</v>
          </cell>
          <cell r="F4518">
            <v>0.20893</v>
          </cell>
          <cell r="G4518">
            <v>105.19695</v>
          </cell>
        </row>
        <row r="4519">
          <cell r="D4519" t="str">
            <v>関川村</v>
          </cell>
          <cell r="E4519">
            <v>2030</v>
          </cell>
          <cell r="F4519">
            <v>0.21673999999999999</v>
          </cell>
          <cell r="G4519">
            <v>105.19786000000001</v>
          </cell>
        </row>
        <row r="4520">
          <cell r="D4520" t="str">
            <v>関川村</v>
          </cell>
          <cell r="E4520">
            <v>2035</v>
          </cell>
          <cell r="F4520">
            <v>0.22055</v>
          </cell>
          <cell r="G4520">
            <v>105.19837</v>
          </cell>
        </row>
        <row r="4521">
          <cell r="D4521" t="str">
            <v>関川村</v>
          </cell>
          <cell r="E4521">
            <v>2040</v>
          </cell>
          <cell r="F4521">
            <v>0.21958</v>
          </cell>
          <cell r="G4521">
            <v>105.1994</v>
          </cell>
        </row>
        <row r="4522">
          <cell r="D4522" t="str">
            <v>関川村</v>
          </cell>
          <cell r="E4522">
            <v>2045</v>
          </cell>
          <cell r="F4522">
            <v>0.21864</v>
          </cell>
          <cell r="G4522">
            <v>105.20048</v>
          </cell>
        </row>
        <row r="4523">
          <cell r="D4523" t="str">
            <v>粟島浦村</v>
          </cell>
          <cell r="E4523">
            <v>2020</v>
          </cell>
          <cell r="F4523">
            <v>0.17021</v>
          </cell>
          <cell r="G4523">
            <v>105.19616000000001</v>
          </cell>
        </row>
        <row r="4524">
          <cell r="D4524" t="str">
            <v>粟島浦村</v>
          </cell>
          <cell r="E4524">
            <v>2025</v>
          </cell>
          <cell r="F4524">
            <v>0.17646999999999999</v>
          </cell>
          <cell r="G4524">
            <v>105.19695</v>
          </cell>
        </row>
        <row r="4525">
          <cell r="D4525" t="str">
            <v>粟島浦村</v>
          </cell>
          <cell r="E4525">
            <v>2030</v>
          </cell>
          <cell r="F4525">
            <v>0.18867999999999999</v>
          </cell>
          <cell r="G4525">
            <v>105.19786000000001</v>
          </cell>
        </row>
        <row r="4526">
          <cell r="D4526" t="str">
            <v>粟島浦村</v>
          </cell>
          <cell r="E4526">
            <v>2035</v>
          </cell>
          <cell r="F4526">
            <v>0.19608</v>
          </cell>
          <cell r="G4526">
            <v>105.19837</v>
          </cell>
        </row>
        <row r="4527">
          <cell r="D4527" t="str">
            <v>粟島浦村</v>
          </cell>
          <cell r="E4527">
            <v>2040</v>
          </cell>
          <cell r="F4527">
            <v>0.2</v>
          </cell>
          <cell r="G4527">
            <v>105.1994</v>
          </cell>
        </row>
        <row r="4528">
          <cell r="D4528" t="str">
            <v>粟島浦村</v>
          </cell>
          <cell r="E4528">
            <v>2045</v>
          </cell>
          <cell r="F4528">
            <v>0.1875</v>
          </cell>
          <cell r="G4528">
            <v>105.20048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33BF6-E992-4CE0-9CB6-897AEF04A656}">
  <sheetPr codeName="Sheet1">
    <tabColor rgb="FFFF0000"/>
  </sheetPr>
  <dimension ref="B2:D12"/>
  <sheetViews>
    <sheetView tabSelected="1" workbookViewId="0"/>
  </sheetViews>
  <sheetFormatPr defaultRowHeight="18.75" x14ac:dyDescent="0.4"/>
  <cols>
    <col min="1" max="2" width="9" style="1"/>
    <col min="3" max="3" width="25.125" style="1" customWidth="1"/>
    <col min="4" max="16384" width="9" style="1"/>
  </cols>
  <sheetData>
    <row r="2" spans="2:4" ht="19.5" thickBot="1" x14ac:dyDescent="0.45"/>
    <row r="3" spans="2:4" x14ac:dyDescent="0.4">
      <c r="B3" s="50" t="s">
        <v>298</v>
      </c>
      <c r="C3" s="51"/>
      <c r="D3" s="52"/>
    </row>
    <row r="4" spans="2:4" ht="19.5" thickBot="1" x14ac:dyDescent="0.45">
      <c r="B4" s="53"/>
      <c r="C4" s="54"/>
      <c r="D4" s="55"/>
    </row>
    <row r="5" spans="2:4" ht="19.5" thickBot="1" x14ac:dyDescent="0.45">
      <c r="B5" s="3"/>
      <c r="C5" s="2" t="s">
        <v>27</v>
      </c>
      <c r="D5" s="4"/>
    </row>
    <row r="6" spans="2:4" x14ac:dyDescent="0.4">
      <c r="B6" s="3"/>
      <c r="C6" s="5"/>
      <c r="D6" s="4"/>
    </row>
    <row r="7" spans="2:4" x14ac:dyDescent="0.4">
      <c r="B7" s="3"/>
      <c r="C7" s="5"/>
      <c r="D7" s="4"/>
    </row>
    <row r="8" spans="2:4" x14ac:dyDescent="0.4">
      <c r="B8" s="3"/>
      <c r="C8" s="5"/>
      <c r="D8" s="4"/>
    </row>
    <row r="9" spans="2:4" x14ac:dyDescent="0.4">
      <c r="B9" s="3"/>
      <c r="C9" s="5"/>
      <c r="D9" s="4"/>
    </row>
    <row r="10" spans="2:4" x14ac:dyDescent="0.4">
      <c r="B10" s="3"/>
      <c r="C10" s="5"/>
      <c r="D10" s="4"/>
    </row>
    <row r="11" spans="2:4" x14ac:dyDescent="0.4">
      <c r="B11" s="3"/>
      <c r="C11" s="5"/>
      <c r="D11" s="4"/>
    </row>
    <row r="12" spans="2:4" ht="19.5" thickBot="1" x14ac:dyDescent="0.45">
      <c r="B12" s="6"/>
      <c r="C12" s="7"/>
      <c r="D12" s="8"/>
    </row>
  </sheetData>
  <sheetProtection sheet="1" objects="1" scenarios="1"/>
  <mergeCells count="1">
    <mergeCell ref="B3:D4"/>
  </mergeCells>
  <phoneticPr fontId="2"/>
  <dataValidations count="1">
    <dataValidation type="list" allowBlank="1" showInputMessage="1" showErrorMessage="1" sqref="C5" xr:uid="{674E7467-94C8-418A-9DED-1EE63FA95B81}">
      <formula1>国勢調査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_xludf.Move">
                <anchor moveWithCells="1" siz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終了">
                <anchor moveWithCells="1" siz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A6579-E892-4CD7-8BBA-C6CA097F68A0}">
  <sheetPr codeName="Sheet4">
    <tabColor rgb="FF00B0F0"/>
  </sheetPr>
  <dimension ref="B1:AG39"/>
  <sheetViews>
    <sheetView showGridLines="0" zoomScaleNormal="100" workbookViewId="0"/>
  </sheetViews>
  <sheetFormatPr defaultRowHeight="18.75" x14ac:dyDescent="0.4"/>
  <cols>
    <col min="1" max="1" width="1.625" customWidth="1"/>
    <col min="2" max="2" width="14" customWidth="1"/>
    <col min="11" max="11" width="1.625" style="40" customWidth="1"/>
    <col min="12" max="12" width="1.625" customWidth="1"/>
    <col min="13" max="13" width="14" customWidth="1"/>
    <col min="22" max="22" width="1.625" style="40" customWidth="1"/>
    <col min="23" max="23" width="1.625" customWidth="1"/>
    <col min="24" max="24" width="14" customWidth="1"/>
    <col min="33" max="33" width="1.625" style="40" customWidth="1"/>
  </cols>
  <sheetData>
    <row r="1" spans="2:33" x14ac:dyDescent="0.4">
      <c r="B1" s="45" t="s">
        <v>263</v>
      </c>
      <c r="M1" s="45" t="s">
        <v>263</v>
      </c>
      <c r="X1" s="45" t="s">
        <v>263</v>
      </c>
    </row>
    <row r="2" spans="2:33" ht="19.5" thickBot="1" x14ac:dyDescent="0.45">
      <c r="J2" s="46" t="str">
        <f>main!C5</f>
        <v>新潟市</v>
      </c>
      <c r="U2" s="46" t="str">
        <f>main!C5</f>
        <v>新潟市</v>
      </c>
      <c r="AF2" s="46" t="str">
        <f>main!C5</f>
        <v>新潟市</v>
      </c>
    </row>
    <row r="3" spans="2:33" x14ac:dyDescent="0.4">
      <c r="B3" s="9" t="s">
        <v>288</v>
      </c>
      <c r="C3" s="10"/>
      <c r="D3" s="18" t="s">
        <v>264</v>
      </c>
      <c r="E3" s="19" t="s">
        <v>265</v>
      </c>
      <c r="F3" s="19" t="s">
        <v>266</v>
      </c>
      <c r="G3" s="19" t="s">
        <v>267</v>
      </c>
      <c r="H3" s="19" t="s">
        <v>268</v>
      </c>
      <c r="I3" s="19" t="s">
        <v>269</v>
      </c>
      <c r="J3" s="20" t="s">
        <v>287</v>
      </c>
      <c r="K3" s="41"/>
      <c r="M3" s="9" t="s">
        <v>289</v>
      </c>
      <c r="N3" s="10"/>
      <c r="O3" s="18" t="s">
        <v>264</v>
      </c>
      <c r="P3" s="36" t="s">
        <v>290</v>
      </c>
      <c r="Q3" s="19" t="s">
        <v>291</v>
      </c>
      <c r="R3" s="19" t="s">
        <v>292</v>
      </c>
      <c r="S3" s="19" t="s">
        <v>293</v>
      </c>
      <c r="T3" s="19" t="s">
        <v>284</v>
      </c>
      <c r="U3" s="20" t="s">
        <v>287</v>
      </c>
      <c r="V3" s="41"/>
      <c r="X3" s="9" t="s">
        <v>257</v>
      </c>
      <c r="Y3" s="10"/>
      <c r="Z3" s="18" t="s">
        <v>264</v>
      </c>
      <c r="AA3" s="36" t="s">
        <v>290</v>
      </c>
      <c r="AB3" s="19" t="s">
        <v>291</v>
      </c>
      <c r="AC3" s="19" t="s">
        <v>292</v>
      </c>
      <c r="AD3" s="19" t="s">
        <v>293</v>
      </c>
      <c r="AE3" s="19" t="s">
        <v>284</v>
      </c>
      <c r="AF3" s="20" t="s">
        <v>287</v>
      </c>
      <c r="AG3" s="41"/>
    </row>
    <row r="4" spans="2:33" ht="19.5" thickBot="1" x14ac:dyDescent="0.45">
      <c r="B4" s="11"/>
      <c r="C4" s="12"/>
      <c r="D4" s="21" t="s">
        <v>270</v>
      </c>
      <c r="E4" s="22" t="s">
        <v>271</v>
      </c>
      <c r="F4" s="22" t="s">
        <v>272</v>
      </c>
      <c r="G4" s="22" t="s">
        <v>273</v>
      </c>
      <c r="H4" s="22" t="s">
        <v>274</v>
      </c>
      <c r="I4" s="22" t="s">
        <v>281</v>
      </c>
      <c r="J4" s="23" t="s">
        <v>286</v>
      </c>
      <c r="K4" s="41"/>
      <c r="M4" s="11"/>
      <c r="N4" s="12"/>
      <c r="O4" s="21" t="s">
        <v>270</v>
      </c>
      <c r="P4" s="37" t="s">
        <v>294</v>
      </c>
      <c r="Q4" s="22" t="s">
        <v>295</v>
      </c>
      <c r="R4" s="22" t="s">
        <v>296</v>
      </c>
      <c r="S4" s="22" t="s">
        <v>297</v>
      </c>
      <c r="T4" s="22" t="s">
        <v>285</v>
      </c>
      <c r="U4" s="23" t="s">
        <v>286</v>
      </c>
      <c r="V4" s="41"/>
      <c r="X4" s="11"/>
      <c r="Y4" s="12"/>
      <c r="Z4" s="21" t="s">
        <v>270</v>
      </c>
      <c r="AA4" s="37" t="s">
        <v>294</v>
      </c>
      <c r="AB4" s="22" t="s">
        <v>295</v>
      </c>
      <c r="AC4" s="22" t="s">
        <v>296</v>
      </c>
      <c r="AD4" s="22" t="s">
        <v>297</v>
      </c>
      <c r="AE4" s="22" t="s">
        <v>285</v>
      </c>
      <c r="AF4" s="23" t="s">
        <v>286</v>
      </c>
      <c r="AG4" s="41"/>
    </row>
    <row r="5" spans="2:33" x14ac:dyDescent="0.4">
      <c r="B5" s="13" t="s">
        <v>275</v>
      </c>
      <c r="C5" s="16" t="s">
        <v>279</v>
      </c>
      <c r="D5" s="24">
        <f>shukei!F8</f>
        <v>99096</v>
      </c>
      <c r="E5" s="25">
        <f>shukei!F9</f>
        <v>94654</v>
      </c>
      <c r="F5" s="25">
        <f>shukei!F10</f>
        <v>88858</v>
      </c>
      <c r="G5" s="25">
        <f>shukei!F11</f>
        <v>83378</v>
      </c>
      <c r="H5" s="25">
        <f>shukei!F12</f>
        <v>78503</v>
      </c>
      <c r="I5" s="25">
        <f>shukei!F13</f>
        <v>74823</v>
      </c>
      <c r="J5" s="26">
        <f>shukei!F14</f>
        <v>70860</v>
      </c>
      <c r="K5" s="42"/>
      <c r="M5" s="13" t="s">
        <v>275</v>
      </c>
      <c r="N5" s="16" t="s">
        <v>279</v>
      </c>
      <c r="O5" s="24">
        <f>shukei!F15</f>
        <v>50700</v>
      </c>
      <c r="P5" s="38">
        <f>shukei!F16</f>
        <v>48364</v>
      </c>
      <c r="Q5" s="25">
        <f>shukei!F17</f>
        <v>45449</v>
      </c>
      <c r="R5" s="25">
        <f>shukei!F18</f>
        <v>42668</v>
      </c>
      <c r="S5" s="25">
        <f>shukei!F19</f>
        <v>40174</v>
      </c>
      <c r="T5" s="25">
        <f>shukei!F20</f>
        <v>38291</v>
      </c>
      <c r="U5" s="26">
        <f>shukei!F21</f>
        <v>36263</v>
      </c>
      <c r="V5" s="42"/>
      <c r="X5" s="13" t="s">
        <v>275</v>
      </c>
      <c r="Y5" s="16" t="s">
        <v>279</v>
      </c>
      <c r="Z5" s="24">
        <f>shukei!F22</f>
        <v>48396</v>
      </c>
      <c r="AA5" s="38">
        <f>shukei!F23</f>
        <v>46290</v>
      </c>
      <c r="AB5" s="25">
        <f>shukei!F24</f>
        <v>43409</v>
      </c>
      <c r="AC5" s="25">
        <f>shukei!F25</f>
        <v>40710</v>
      </c>
      <c r="AD5" s="25">
        <f>shukei!F26</f>
        <v>38329</v>
      </c>
      <c r="AE5" s="25">
        <f>shukei!F27</f>
        <v>36532</v>
      </c>
      <c r="AF5" s="26">
        <f>shukei!F28</f>
        <v>34597</v>
      </c>
      <c r="AG5" s="42"/>
    </row>
    <row r="6" spans="2:33" ht="19.5" thickBot="1" x14ac:dyDescent="0.45">
      <c r="B6" s="14"/>
      <c r="C6" s="17" t="s">
        <v>280</v>
      </c>
      <c r="D6" s="27">
        <f>D5/D$11*100</f>
        <v>12.23167304195843</v>
      </c>
      <c r="E6" s="28">
        <f t="shared" ref="E6:J6" si="0">E5/E$11*100</f>
        <v>11.789102920186226</v>
      </c>
      <c r="F6" s="28">
        <f t="shared" si="0"/>
        <v>11.277140115845208</v>
      </c>
      <c r="G6" s="28">
        <f t="shared" si="0"/>
        <v>10.862380062142956</v>
      </c>
      <c r="H6" s="28">
        <f t="shared" si="0"/>
        <v>10.559256011147996</v>
      </c>
      <c r="I6" s="28">
        <f t="shared" si="0"/>
        <v>10.462589561880897</v>
      </c>
      <c r="J6" s="29">
        <f t="shared" si="0"/>
        <v>10.360648834536667</v>
      </c>
      <c r="K6" s="43"/>
      <c r="M6" s="14"/>
      <c r="N6" s="17" t="s">
        <v>280</v>
      </c>
      <c r="O6" s="27">
        <f>O5/O$11*100</f>
        <v>13.016220212880667</v>
      </c>
      <c r="P6" s="28">
        <f t="shared" ref="P6:Q6" si="1">P5/P$11*100</f>
        <v>12.53521674334219</v>
      </c>
      <c r="Q6" s="28">
        <f t="shared" si="1"/>
        <v>12.007947348814106</v>
      </c>
      <c r="R6" s="28">
        <f t="shared" ref="R6" si="2">R5/R$11*100</f>
        <v>11.575503383016011</v>
      </c>
      <c r="S6" s="28">
        <f t="shared" ref="S6" si="3">S5/S$11*100</f>
        <v>11.262433138589547</v>
      </c>
      <c r="T6" s="28">
        <f t="shared" ref="T6" si="4">T5/T$11*100</f>
        <v>11.161701991214288</v>
      </c>
      <c r="U6" s="29">
        <f t="shared" ref="U6" si="5">U5/U$11*100</f>
        <v>11.043940649059545</v>
      </c>
      <c r="V6" s="43"/>
      <c r="X6" s="14"/>
      <c r="Y6" s="17" t="s">
        <v>280</v>
      </c>
      <c r="Z6" s="27">
        <f>Z5/Z$11*100</f>
        <v>11.505188460578397</v>
      </c>
      <c r="AA6" s="28">
        <f t="shared" ref="AA6:AF6" si="6">AA5/AA$11*100</f>
        <v>11.098882918653748</v>
      </c>
      <c r="AB6" s="28">
        <f t="shared" si="6"/>
        <v>10.601601633382748</v>
      </c>
      <c r="AC6" s="28">
        <f t="shared" si="6"/>
        <v>10.203544547457385</v>
      </c>
      <c r="AD6" s="28">
        <f t="shared" si="6"/>
        <v>9.9106902757379558</v>
      </c>
      <c r="AE6" s="28">
        <f t="shared" si="6"/>
        <v>9.8180283855293471</v>
      </c>
      <c r="AF6" s="29">
        <f t="shared" si="6"/>
        <v>9.729682604856265</v>
      </c>
      <c r="AG6" s="43"/>
    </row>
    <row r="7" spans="2:33" x14ac:dyDescent="0.4">
      <c r="B7" s="13" t="s">
        <v>276</v>
      </c>
      <c r="C7" s="16" t="s">
        <v>279</v>
      </c>
      <c r="D7" s="30">
        <f>shukei!G8</f>
        <v>492410</v>
      </c>
      <c r="E7" s="31">
        <f>shukei!G9</f>
        <v>469388</v>
      </c>
      <c r="F7" s="31">
        <f>shukei!G10</f>
        <v>453423</v>
      </c>
      <c r="G7" s="31">
        <f>shukei!G11</f>
        <v>435583</v>
      </c>
      <c r="H7" s="31">
        <f>shukei!G12</f>
        <v>412755</v>
      </c>
      <c r="I7" s="25">
        <f>shukei!G13</f>
        <v>380003</v>
      </c>
      <c r="J7" s="26">
        <f>shukei!G14</f>
        <v>352230</v>
      </c>
      <c r="K7" s="42"/>
      <c r="M7" s="13" t="s">
        <v>276</v>
      </c>
      <c r="N7" s="16" t="s">
        <v>279</v>
      </c>
      <c r="O7" s="30">
        <f>shukei!G15</f>
        <v>245732</v>
      </c>
      <c r="P7" s="39">
        <f>shukei!G16</f>
        <v>234992</v>
      </c>
      <c r="Q7" s="31">
        <f>shukei!G17</f>
        <v>227302</v>
      </c>
      <c r="R7" s="31">
        <f>shukei!G18</f>
        <v>218769</v>
      </c>
      <c r="S7" s="31">
        <f>shukei!G19</f>
        <v>207505</v>
      </c>
      <c r="T7" s="25">
        <f>shukei!G20</f>
        <v>191327</v>
      </c>
      <c r="U7" s="26">
        <f>shukei!G21</f>
        <v>177430</v>
      </c>
      <c r="V7" s="42"/>
      <c r="X7" s="13" t="s">
        <v>276</v>
      </c>
      <c r="Y7" s="16" t="s">
        <v>279</v>
      </c>
      <c r="Z7" s="30">
        <f>shukei!G22</f>
        <v>246678</v>
      </c>
      <c r="AA7" s="39">
        <f>shukei!G23</f>
        <v>234396</v>
      </c>
      <c r="AB7" s="31">
        <f>shukei!G24</f>
        <v>226121</v>
      </c>
      <c r="AC7" s="31">
        <f>shukei!G25</f>
        <v>216814</v>
      </c>
      <c r="AD7" s="31">
        <f>shukei!G26</f>
        <v>205250</v>
      </c>
      <c r="AE7" s="25">
        <f>shukei!G27</f>
        <v>188676</v>
      </c>
      <c r="AF7" s="26">
        <f>shukei!G28</f>
        <v>174800</v>
      </c>
      <c r="AG7" s="42"/>
    </row>
    <row r="8" spans="2:33" ht="19.5" thickBot="1" x14ac:dyDescent="0.45">
      <c r="B8" s="14"/>
      <c r="C8" s="17" t="s">
        <v>280</v>
      </c>
      <c r="D8" s="27">
        <f>D7/D$11*100</f>
        <v>60.779427248231521</v>
      </c>
      <c r="E8" s="28">
        <f t="shared" ref="E8" si="7">E7/E$11*100</f>
        <v>58.462013665564818</v>
      </c>
      <c r="F8" s="28">
        <f t="shared" ref="F8" si="8">F7/F$11*100</f>
        <v>57.544787219461178</v>
      </c>
      <c r="G8" s="28">
        <f t="shared" ref="G8:H8" si="9">G7/G$11*100</f>
        <v>56.747200635760208</v>
      </c>
      <c r="H8" s="28">
        <f t="shared" si="9"/>
        <v>55.518715397900607</v>
      </c>
      <c r="I8" s="28">
        <f t="shared" ref="I8" si="10">I7/I$11*100</f>
        <v>53.136273890159799</v>
      </c>
      <c r="J8" s="29">
        <f t="shared" ref="J8" si="11">J7/J$11*100</f>
        <v>51.500583389625312</v>
      </c>
      <c r="K8" s="43"/>
      <c r="M8" s="14"/>
      <c r="N8" s="17" t="s">
        <v>280</v>
      </c>
      <c r="O8" s="27">
        <f>O7/O$11*100</f>
        <v>63.086821012851914</v>
      </c>
      <c r="P8" s="28">
        <f t="shared" ref="P8:Q8" si="12">P7/P$11*100</f>
        <v>60.906369468023072</v>
      </c>
      <c r="Q8" s="28">
        <f t="shared" si="12"/>
        <v>60.054796547341951</v>
      </c>
      <c r="R8" s="28">
        <f t="shared" ref="R8" si="13">R7/R$11*100</f>
        <v>59.350363260500373</v>
      </c>
      <c r="S8" s="28">
        <f t="shared" ref="S8" si="14">S7/S$11*100</f>
        <v>58.172230507866374</v>
      </c>
      <c r="T8" s="28">
        <f t="shared" ref="T8" si="15">T7/T$11*100</f>
        <v>55.771198372282157</v>
      </c>
      <c r="U8" s="29">
        <f t="shared" ref="U8" si="16">U7/U$11*100</f>
        <v>54.036521781502778</v>
      </c>
      <c r="V8" s="43"/>
      <c r="X8" s="14"/>
      <c r="Y8" s="17" t="s">
        <v>280</v>
      </c>
      <c r="Z8" s="27">
        <f>Z7/Z$11*100</f>
        <v>58.642798559355278</v>
      </c>
      <c r="AA8" s="28">
        <f t="shared" ref="AA8:AF8" si="17">AA7/AA$11*100</f>
        <v>56.200772534041135</v>
      </c>
      <c r="AB8" s="28">
        <f t="shared" si="17"/>
        <v>55.22460233919557</v>
      </c>
      <c r="AC8" s="28">
        <f t="shared" si="17"/>
        <v>54.342208487163489</v>
      </c>
      <c r="AD8" s="28">
        <f t="shared" si="17"/>
        <v>53.071282295265085</v>
      </c>
      <c r="AE8" s="28">
        <f t="shared" si="17"/>
        <v>50.706950719044528</v>
      </c>
      <c r="AF8" s="29">
        <f t="shared" si="17"/>
        <v>49.158843810991556</v>
      </c>
      <c r="AG8" s="43"/>
    </row>
    <row r="9" spans="2:33" x14ac:dyDescent="0.4">
      <c r="B9" s="13" t="s">
        <v>277</v>
      </c>
      <c r="C9" s="16" t="s">
        <v>279</v>
      </c>
      <c r="D9" s="30">
        <f>shukei!H8</f>
        <v>218653</v>
      </c>
      <c r="E9" s="31">
        <f>shukei!H9</f>
        <v>238852</v>
      </c>
      <c r="F9" s="31">
        <f>shukei!H10</f>
        <v>245667</v>
      </c>
      <c r="G9" s="31">
        <f>shukei!H11</f>
        <v>248624</v>
      </c>
      <c r="H9" s="31">
        <f>shukei!H12</f>
        <v>252194</v>
      </c>
      <c r="I9" s="31">
        <f>shukei!H13</f>
        <v>260322</v>
      </c>
      <c r="J9" s="32">
        <f>shukei!H14</f>
        <v>260844</v>
      </c>
      <c r="K9" s="44"/>
      <c r="M9" s="13" t="s">
        <v>277</v>
      </c>
      <c r="N9" s="16" t="s">
        <v>279</v>
      </c>
      <c r="O9" s="30">
        <f>shukei!H15</f>
        <v>93082</v>
      </c>
      <c r="P9" s="39">
        <f>shukei!H16</f>
        <v>102469</v>
      </c>
      <c r="Q9" s="31">
        <f>shukei!H17</f>
        <v>105740</v>
      </c>
      <c r="R9" s="31">
        <f>shukei!H18</f>
        <v>107169</v>
      </c>
      <c r="S9" s="31">
        <f>shukei!H19</f>
        <v>109029</v>
      </c>
      <c r="T9" s="31">
        <f>shukei!H20</f>
        <v>113439</v>
      </c>
      <c r="U9" s="32">
        <f>shukei!H21</f>
        <v>114659</v>
      </c>
      <c r="V9" s="44"/>
      <c r="X9" s="13" t="s">
        <v>277</v>
      </c>
      <c r="Y9" s="16" t="s">
        <v>279</v>
      </c>
      <c r="Z9" s="30">
        <f>shukei!H22</f>
        <v>125571</v>
      </c>
      <c r="AA9" s="39">
        <f>shukei!H23</f>
        <v>136383</v>
      </c>
      <c r="AB9" s="31">
        <f>shukei!H24</f>
        <v>139927</v>
      </c>
      <c r="AC9" s="31">
        <f>shukei!H25</f>
        <v>141455</v>
      </c>
      <c r="AD9" s="31">
        <f>shukei!H26</f>
        <v>143165</v>
      </c>
      <c r="AE9" s="31">
        <f>shukei!H27</f>
        <v>146883</v>
      </c>
      <c r="AF9" s="32">
        <f>shukei!H28</f>
        <v>146185</v>
      </c>
      <c r="AG9" s="44"/>
    </row>
    <row r="10" spans="2:33" ht="19.5" thickBot="1" x14ac:dyDescent="0.45">
      <c r="B10" s="14"/>
      <c r="C10" s="17" t="s">
        <v>280</v>
      </c>
      <c r="D10" s="27">
        <f>D9/D$11*100</f>
        <v>26.988899709810049</v>
      </c>
      <c r="E10" s="28">
        <f t="shared" ref="E10" si="18">E9/E$11*100</f>
        <v>29.748883414248954</v>
      </c>
      <c r="F10" s="28">
        <f t="shared" ref="F10" si="19">F9/F$11*100</f>
        <v>31.178072664693605</v>
      </c>
      <c r="G10" s="28">
        <f t="shared" ref="G10:H10" si="20">G9/G$11*100</f>
        <v>32.390419302096838</v>
      </c>
      <c r="H10" s="28">
        <f t="shared" si="20"/>
        <v>33.922028590951399</v>
      </c>
      <c r="I10" s="28">
        <f t="shared" ref="I10" si="21">I9/I$11*100</f>
        <v>36.401136547959304</v>
      </c>
      <c r="J10" s="29">
        <f t="shared" ref="J10" si="22">J9/J$11*100</f>
        <v>38.138767775838019</v>
      </c>
      <c r="K10" s="43"/>
      <c r="M10" s="14"/>
      <c r="N10" s="17" t="s">
        <v>280</v>
      </c>
      <c r="O10" s="27">
        <f>O9/O$11*100</f>
        <v>23.896958774267421</v>
      </c>
      <c r="P10" s="28">
        <f t="shared" ref="P10:Q10" si="23">P9/P$11*100</f>
        <v>26.558413788634745</v>
      </c>
      <c r="Q10" s="28">
        <f t="shared" si="23"/>
        <v>27.93725610384395</v>
      </c>
      <c r="R10" s="28">
        <f t="shared" ref="R10" si="24">R9/R$11*100</f>
        <v>29.074133356483618</v>
      </c>
      <c r="S10" s="28">
        <f t="shared" ref="S10" si="25">S9/S$11*100</f>
        <v>30.565336353544076</v>
      </c>
      <c r="T10" s="28">
        <f t="shared" ref="T10" si="26">T9/T$11*100</f>
        <v>33.067099636503556</v>
      </c>
      <c r="U10" s="29">
        <f t="shared" ref="U10" si="27">U9/U$11*100</f>
        <v>34.919537569437672</v>
      </c>
      <c r="V10" s="43"/>
      <c r="X10" s="14"/>
      <c r="Y10" s="17" t="s">
        <v>280</v>
      </c>
      <c r="Z10" s="27">
        <f>Z9/Z$11*100</f>
        <v>29.852012980066327</v>
      </c>
      <c r="AA10" s="28">
        <f t="shared" ref="AA10:AF10" si="28">AA9/AA$11*100</f>
        <v>32.700344547305122</v>
      </c>
      <c r="AB10" s="28">
        <f t="shared" si="28"/>
        <v>34.17379602742168</v>
      </c>
      <c r="AC10" s="28">
        <f t="shared" si="28"/>
        <v>35.454246965379134</v>
      </c>
      <c r="AD10" s="28">
        <f t="shared" si="28"/>
        <v>37.018027428996959</v>
      </c>
      <c r="AE10" s="28">
        <f t="shared" si="28"/>
        <v>39.475020895426113</v>
      </c>
      <c r="AF10" s="29">
        <f t="shared" si="28"/>
        <v>41.111473584152179</v>
      </c>
      <c r="AG10" s="43"/>
    </row>
    <row r="11" spans="2:33" x14ac:dyDescent="0.4">
      <c r="B11" s="15" t="s">
        <v>278</v>
      </c>
      <c r="C11" s="16" t="s">
        <v>279</v>
      </c>
      <c r="D11" s="33">
        <f>SUM(D5,D7,D9)</f>
        <v>810159</v>
      </c>
      <c r="E11" s="34">
        <f t="shared" ref="E11:J11" si="29">SUM(E5,E7,E9)</f>
        <v>802894</v>
      </c>
      <c r="F11" s="34">
        <f t="shared" si="29"/>
        <v>787948</v>
      </c>
      <c r="G11" s="34">
        <f t="shared" si="29"/>
        <v>767585</v>
      </c>
      <c r="H11" s="34">
        <f t="shared" ref="H11" si="30">SUM(H5,H7,H9)</f>
        <v>743452</v>
      </c>
      <c r="I11" s="34">
        <f t="shared" si="29"/>
        <v>715148</v>
      </c>
      <c r="J11" s="35">
        <f t="shared" si="29"/>
        <v>683934</v>
      </c>
      <c r="K11" s="44"/>
      <c r="M11" s="15" t="s">
        <v>278</v>
      </c>
      <c r="N11" s="16" t="s">
        <v>279</v>
      </c>
      <c r="O11" s="33">
        <f>SUM(O5,O7,O9)</f>
        <v>389514</v>
      </c>
      <c r="P11" s="34">
        <f t="shared" ref="P11:U11" si="31">SUM(P5,P7,P9)</f>
        <v>385825</v>
      </c>
      <c r="Q11" s="34">
        <f t="shared" si="31"/>
        <v>378491</v>
      </c>
      <c r="R11" s="34">
        <f t="shared" si="31"/>
        <v>368606</v>
      </c>
      <c r="S11" s="34">
        <f t="shared" si="31"/>
        <v>356708</v>
      </c>
      <c r="T11" s="34">
        <f t="shared" si="31"/>
        <v>343057</v>
      </c>
      <c r="U11" s="35">
        <f t="shared" si="31"/>
        <v>328352</v>
      </c>
      <c r="V11" s="44"/>
      <c r="X11" s="15" t="s">
        <v>278</v>
      </c>
      <c r="Y11" s="16" t="s">
        <v>279</v>
      </c>
      <c r="Z11" s="33">
        <f>SUM(Z5,Z7,Z9)</f>
        <v>420645</v>
      </c>
      <c r="AA11" s="34">
        <f t="shared" ref="AA11:AF11" si="32">SUM(AA5,AA7,AA9)</f>
        <v>417069</v>
      </c>
      <c r="AB11" s="34">
        <f t="shared" si="32"/>
        <v>409457</v>
      </c>
      <c r="AC11" s="34">
        <f t="shared" si="32"/>
        <v>398979</v>
      </c>
      <c r="AD11" s="34">
        <f t="shared" si="32"/>
        <v>386744</v>
      </c>
      <c r="AE11" s="34">
        <f t="shared" si="32"/>
        <v>372091</v>
      </c>
      <c r="AF11" s="35">
        <f t="shared" si="32"/>
        <v>355582</v>
      </c>
      <c r="AG11" s="44"/>
    </row>
    <row r="12" spans="2:33" ht="19.5" thickBot="1" x14ac:dyDescent="0.45">
      <c r="B12" s="14"/>
      <c r="C12" s="17" t="s">
        <v>280</v>
      </c>
      <c r="D12" s="27">
        <f>SUM(D6,D8,D10)</f>
        <v>100</v>
      </c>
      <c r="E12" s="28">
        <f t="shared" ref="E12:J12" si="33">SUM(E6,E8,E10)</f>
        <v>100</v>
      </c>
      <c r="F12" s="28">
        <f t="shared" si="33"/>
        <v>99.999999999999986</v>
      </c>
      <c r="G12" s="28">
        <f t="shared" si="33"/>
        <v>100</v>
      </c>
      <c r="H12" s="28">
        <f t="shared" si="33"/>
        <v>100</v>
      </c>
      <c r="I12" s="28">
        <f t="shared" si="33"/>
        <v>100</v>
      </c>
      <c r="J12" s="29">
        <f t="shared" si="33"/>
        <v>100</v>
      </c>
      <c r="K12" s="43"/>
      <c r="M12" s="14"/>
      <c r="N12" s="17" t="s">
        <v>280</v>
      </c>
      <c r="O12" s="27">
        <f>SUM(O6,O8,O10)</f>
        <v>100</v>
      </c>
      <c r="P12" s="28">
        <f t="shared" ref="P12:U12" si="34">SUM(P6,P8,P10)</f>
        <v>100</v>
      </c>
      <c r="Q12" s="28">
        <f t="shared" si="34"/>
        <v>100.00000000000001</v>
      </c>
      <c r="R12" s="28">
        <f t="shared" si="34"/>
        <v>100</v>
      </c>
      <c r="S12" s="28">
        <f t="shared" si="34"/>
        <v>100</v>
      </c>
      <c r="T12" s="28">
        <f t="shared" si="34"/>
        <v>100</v>
      </c>
      <c r="U12" s="29">
        <f t="shared" si="34"/>
        <v>100</v>
      </c>
      <c r="V12" s="43"/>
      <c r="X12" s="14"/>
      <c r="Y12" s="17" t="s">
        <v>280</v>
      </c>
      <c r="Z12" s="27">
        <f>SUM(Z6,Z8,Z10)</f>
        <v>100</v>
      </c>
      <c r="AA12" s="28">
        <f t="shared" ref="AA12:AF12" si="35">SUM(AA6,AA8,AA10)</f>
        <v>100</v>
      </c>
      <c r="AB12" s="28">
        <f t="shared" si="35"/>
        <v>100</v>
      </c>
      <c r="AC12" s="28">
        <f t="shared" si="35"/>
        <v>100</v>
      </c>
      <c r="AD12" s="28">
        <f t="shared" si="35"/>
        <v>100</v>
      </c>
      <c r="AE12" s="28">
        <f t="shared" si="35"/>
        <v>99.999999999999986</v>
      </c>
      <c r="AF12" s="29">
        <f t="shared" si="35"/>
        <v>100</v>
      </c>
      <c r="AG12" s="43"/>
    </row>
    <row r="26" spans="2:24" x14ac:dyDescent="0.4">
      <c r="B26" t="s">
        <v>282</v>
      </c>
      <c r="M26" t="s">
        <v>282</v>
      </c>
      <c r="X26" t="s">
        <v>282</v>
      </c>
    </row>
    <row r="39" spans="2:24" x14ac:dyDescent="0.4">
      <c r="B39" t="s">
        <v>283</v>
      </c>
      <c r="M39" t="s">
        <v>283</v>
      </c>
      <c r="X39" t="s">
        <v>283</v>
      </c>
    </row>
  </sheetData>
  <phoneticPr fontId="2"/>
  <pageMargins left="0.39370078740157483" right="0.39370078740157483" top="0.74803149606299213" bottom="0.74803149606299213" header="0.31496062992125984" footer="0.31496062992125984"/>
  <pageSetup paperSize="9" scale="98" orientation="portrait" r:id="rId1"/>
  <colBreaks count="1" manualBreakCount="1">
    <brk id="11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DB670-9CF8-4F28-B174-94B1B8DBFB17}">
  <sheetPr codeName="Sheet5">
    <tabColor rgb="FFFFFF00"/>
  </sheetPr>
  <dimension ref="A2:DB173"/>
  <sheetViews>
    <sheetView workbookViewId="0"/>
  </sheetViews>
  <sheetFormatPr defaultRowHeight="18.75" x14ac:dyDescent="0.4"/>
  <cols>
    <col min="1" max="1" width="9" style="45"/>
    <col min="11" max="11" width="9" customWidth="1"/>
  </cols>
  <sheetData>
    <row r="2" spans="1:106" x14ac:dyDescent="0.4">
      <c r="A2" s="45" t="s">
        <v>299</v>
      </c>
    </row>
    <row r="4" spans="1:106" x14ac:dyDescent="0.4">
      <c r="A4" s="45" t="s">
        <v>300</v>
      </c>
    </row>
    <row r="6" spans="1:106" x14ac:dyDescent="0.4">
      <c r="B6" t="s">
        <v>301</v>
      </c>
    </row>
    <row r="7" spans="1:106" x14ac:dyDescent="0.4">
      <c r="D7" t="s">
        <v>302</v>
      </c>
      <c r="E7" t="s">
        <v>303</v>
      </c>
      <c r="F7" t="s">
        <v>304</v>
      </c>
      <c r="G7" t="s">
        <v>305</v>
      </c>
      <c r="H7" t="s">
        <v>306</v>
      </c>
      <c r="I7" t="s">
        <v>307</v>
      </c>
      <c r="J7" t="s">
        <v>308</v>
      </c>
      <c r="K7" t="s">
        <v>309</v>
      </c>
      <c r="L7" t="s">
        <v>310</v>
      </c>
      <c r="M7" t="s">
        <v>311</v>
      </c>
      <c r="N7" t="s">
        <v>312</v>
      </c>
      <c r="O7" t="s">
        <v>313</v>
      </c>
      <c r="P7" t="s">
        <v>314</v>
      </c>
      <c r="Q7" t="s">
        <v>315</v>
      </c>
      <c r="R7" t="s">
        <v>316</v>
      </c>
      <c r="S7" t="s">
        <v>317</v>
      </c>
      <c r="T7" t="s">
        <v>318</v>
      </c>
      <c r="U7" t="s">
        <v>319</v>
      </c>
      <c r="V7" t="s">
        <v>320</v>
      </c>
      <c r="W7" t="s">
        <v>321</v>
      </c>
      <c r="X7" t="s">
        <v>322</v>
      </c>
      <c r="Y7" t="s">
        <v>323</v>
      </c>
      <c r="Z7" t="s">
        <v>324</v>
      </c>
      <c r="AA7" t="s">
        <v>325</v>
      </c>
      <c r="AB7" t="s">
        <v>326</v>
      </c>
      <c r="AC7" t="s">
        <v>327</v>
      </c>
      <c r="AD7" t="s">
        <v>328</v>
      </c>
      <c r="AE7" t="s">
        <v>329</v>
      </c>
      <c r="AF7" t="s">
        <v>330</v>
      </c>
      <c r="AG7" t="s">
        <v>331</v>
      </c>
      <c r="AH7" t="s">
        <v>332</v>
      </c>
      <c r="AI7" t="s">
        <v>333</v>
      </c>
      <c r="AJ7" t="s">
        <v>334</v>
      </c>
      <c r="AK7" t="s">
        <v>335</v>
      </c>
      <c r="AL7" t="s">
        <v>336</v>
      </c>
      <c r="AM7" t="s">
        <v>337</v>
      </c>
      <c r="AN7" t="s">
        <v>338</v>
      </c>
      <c r="AO7" t="s">
        <v>339</v>
      </c>
      <c r="AP7" t="s">
        <v>340</v>
      </c>
      <c r="AQ7" t="s">
        <v>341</v>
      </c>
      <c r="AR7" t="s">
        <v>342</v>
      </c>
      <c r="AS7" t="s">
        <v>343</v>
      </c>
      <c r="AT7" t="s">
        <v>344</v>
      </c>
      <c r="AU7" t="s">
        <v>345</v>
      </c>
      <c r="AV7" t="s">
        <v>346</v>
      </c>
      <c r="AW7" t="s">
        <v>347</v>
      </c>
      <c r="AX7" t="s">
        <v>348</v>
      </c>
      <c r="AY7" t="s">
        <v>349</v>
      </c>
      <c r="AZ7" t="s">
        <v>350</v>
      </c>
      <c r="BA7" t="s">
        <v>351</v>
      </c>
      <c r="BB7" t="s">
        <v>352</v>
      </c>
      <c r="BC7" t="s">
        <v>353</v>
      </c>
      <c r="BD7" t="s">
        <v>354</v>
      </c>
      <c r="BE7" t="s">
        <v>355</v>
      </c>
      <c r="BF7" t="s">
        <v>356</v>
      </c>
      <c r="BG7" t="s">
        <v>357</v>
      </c>
      <c r="BH7" t="s">
        <v>358</v>
      </c>
      <c r="BI7" t="s">
        <v>359</v>
      </c>
      <c r="BJ7" t="s">
        <v>360</v>
      </c>
      <c r="BK7" t="s">
        <v>361</v>
      </c>
      <c r="BL7" t="s">
        <v>362</v>
      </c>
      <c r="BM7" t="s">
        <v>363</v>
      </c>
      <c r="BN7" t="s">
        <v>364</v>
      </c>
      <c r="BO7" t="s">
        <v>365</v>
      </c>
      <c r="BP7" t="s">
        <v>366</v>
      </c>
      <c r="BQ7" t="s">
        <v>367</v>
      </c>
      <c r="BR7" t="s">
        <v>368</v>
      </c>
      <c r="BS7" t="s">
        <v>369</v>
      </c>
      <c r="BT7" t="s">
        <v>370</v>
      </c>
      <c r="BU7" t="s">
        <v>371</v>
      </c>
      <c r="BV7" t="s">
        <v>372</v>
      </c>
      <c r="BW7" t="s">
        <v>373</v>
      </c>
      <c r="BX7" t="s">
        <v>374</v>
      </c>
      <c r="BY7" t="s">
        <v>375</v>
      </c>
      <c r="BZ7" t="s">
        <v>376</v>
      </c>
      <c r="CA7" t="s">
        <v>377</v>
      </c>
      <c r="CB7" t="s">
        <v>378</v>
      </c>
      <c r="CC7" t="s">
        <v>379</v>
      </c>
      <c r="CD7" t="s">
        <v>380</v>
      </c>
      <c r="CE7" t="s">
        <v>381</v>
      </c>
      <c r="CF7" t="s">
        <v>382</v>
      </c>
      <c r="CG7" t="s">
        <v>383</v>
      </c>
      <c r="CH7" t="s">
        <v>384</v>
      </c>
      <c r="CI7" t="s">
        <v>385</v>
      </c>
      <c r="CJ7" t="s">
        <v>386</v>
      </c>
      <c r="CK7" t="s">
        <v>387</v>
      </c>
      <c r="CL7" t="s">
        <v>388</v>
      </c>
      <c r="CM7" t="s">
        <v>389</v>
      </c>
      <c r="CN7" t="s">
        <v>390</v>
      </c>
      <c r="CO7" t="s">
        <v>391</v>
      </c>
      <c r="CP7" t="s">
        <v>392</v>
      </c>
      <c r="CQ7" t="s">
        <v>393</v>
      </c>
      <c r="CR7" t="s">
        <v>394</v>
      </c>
      <c r="CS7" t="s">
        <v>395</v>
      </c>
      <c r="CT7" t="s">
        <v>396</v>
      </c>
      <c r="CU7" t="s">
        <v>397</v>
      </c>
      <c r="CV7" t="s">
        <v>398</v>
      </c>
      <c r="CW7" t="s">
        <v>399</v>
      </c>
      <c r="CX7" t="s">
        <v>400</v>
      </c>
      <c r="CY7" t="s">
        <v>401</v>
      </c>
      <c r="CZ7" t="s">
        <v>402</v>
      </c>
      <c r="DA7" t="s">
        <v>24</v>
      </c>
      <c r="DB7" t="s">
        <v>25</v>
      </c>
    </row>
    <row r="8" spans="1:106" x14ac:dyDescent="0.4">
      <c r="B8">
        <v>201</v>
      </c>
      <c r="C8" t="s">
        <v>27</v>
      </c>
      <c r="D8">
        <v>389512</v>
      </c>
      <c r="E8">
        <v>3017</v>
      </c>
      <c r="F8">
        <v>3065</v>
      </c>
      <c r="G8">
        <v>3167</v>
      </c>
      <c r="H8">
        <v>3201</v>
      </c>
      <c r="I8">
        <v>3329</v>
      </c>
      <c r="J8">
        <v>3227</v>
      </c>
      <c r="K8">
        <v>3373</v>
      </c>
      <c r="L8">
        <v>3363</v>
      </c>
      <c r="M8">
        <v>3435</v>
      </c>
      <c r="N8">
        <v>3384</v>
      </c>
      <c r="O8">
        <v>3406</v>
      </c>
      <c r="P8">
        <v>3474</v>
      </c>
      <c r="Q8">
        <v>3496</v>
      </c>
      <c r="R8">
        <v>3617</v>
      </c>
      <c r="S8">
        <v>3694</v>
      </c>
      <c r="T8">
        <v>3849</v>
      </c>
      <c r="U8">
        <v>3854</v>
      </c>
      <c r="V8">
        <v>3922</v>
      </c>
      <c r="W8">
        <v>4110</v>
      </c>
      <c r="X8">
        <v>4410</v>
      </c>
      <c r="Y8">
        <v>4270</v>
      </c>
      <c r="Z8">
        <v>4202</v>
      </c>
      <c r="AA8">
        <v>3921</v>
      </c>
      <c r="AB8">
        <v>3872</v>
      </c>
      <c r="AC8">
        <v>3692</v>
      </c>
      <c r="AD8">
        <v>3661</v>
      </c>
      <c r="AE8">
        <v>3789</v>
      </c>
      <c r="AF8">
        <v>4017</v>
      </c>
      <c r="AG8">
        <v>4014</v>
      </c>
      <c r="AH8">
        <v>4247</v>
      </c>
      <c r="AI8">
        <v>4448</v>
      </c>
      <c r="AJ8">
        <v>4386</v>
      </c>
      <c r="AK8">
        <v>4472</v>
      </c>
      <c r="AL8">
        <v>4526</v>
      </c>
      <c r="AM8">
        <v>4775</v>
      </c>
      <c r="AN8">
        <v>4841</v>
      </c>
      <c r="AO8">
        <v>5199</v>
      </c>
      <c r="AP8">
        <v>5479</v>
      </c>
      <c r="AQ8">
        <v>5597</v>
      </c>
      <c r="AR8">
        <v>5931</v>
      </c>
      <c r="AS8">
        <v>5929</v>
      </c>
      <c r="AT8">
        <v>6187</v>
      </c>
      <c r="AU8">
        <v>6287</v>
      </c>
      <c r="AV8">
        <v>5984</v>
      </c>
      <c r="AW8">
        <v>5832</v>
      </c>
      <c r="AX8">
        <v>5698</v>
      </c>
      <c r="AY8">
        <v>5672</v>
      </c>
      <c r="AZ8">
        <v>5427</v>
      </c>
      <c r="BA8">
        <v>5544</v>
      </c>
      <c r="BB8">
        <v>4261</v>
      </c>
      <c r="BC8">
        <v>5339</v>
      </c>
      <c r="BD8">
        <v>4897</v>
      </c>
      <c r="BE8">
        <v>4913</v>
      </c>
      <c r="BF8">
        <v>4577</v>
      </c>
      <c r="BG8">
        <v>4814</v>
      </c>
      <c r="BH8">
        <v>4709</v>
      </c>
      <c r="BI8">
        <v>4883</v>
      </c>
      <c r="BJ8">
        <v>4940</v>
      </c>
      <c r="BK8">
        <v>4834</v>
      </c>
      <c r="BL8">
        <v>5089</v>
      </c>
      <c r="BM8">
        <v>5340</v>
      </c>
      <c r="BN8">
        <v>5363</v>
      </c>
      <c r="BO8">
        <v>5558</v>
      </c>
      <c r="BP8">
        <v>5843</v>
      </c>
      <c r="BQ8">
        <v>6139</v>
      </c>
      <c r="BR8">
        <v>6649</v>
      </c>
      <c r="BS8">
        <v>6834</v>
      </c>
      <c r="BT8">
        <v>6403</v>
      </c>
      <c r="BU8">
        <v>6594</v>
      </c>
      <c r="BV8">
        <v>3824</v>
      </c>
      <c r="BW8">
        <v>3931</v>
      </c>
      <c r="BX8">
        <v>4656</v>
      </c>
      <c r="BY8">
        <v>4464</v>
      </c>
      <c r="BZ8">
        <v>4361</v>
      </c>
      <c r="CA8">
        <v>4271</v>
      </c>
      <c r="CB8">
        <v>3884</v>
      </c>
      <c r="CC8">
        <v>3339</v>
      </c>
      <c r="CD8">
        <v>3460</v>
      </c>
      <c r="CE8">
        <v>3388</v>
      </c>
      <c r="CF8">
        <v>3458</v>
      </c>
      <c r="CG8">
        <v>2959</v>
      </c>
      <c r="CH8">
        <v>2638</v>
      </c>
      <c r="CI8">
        <v>2545</v>
      </c>
      <c r="CJ8">
        <v>2374</v>
      </c>
      <c r="CK8">
        <v>2168</v>
      </c>
      <c r="CL8">
        <v>1918</v>
      </c>
      <c r="CM8">
        <v>1570</v>
      </c>
      <c r="CN8">
        <v>1494</v>
      </c>
      <c r="CO8">
        <v>1215</v>
      </c>
      <c r="CP8">
        <v>1015</v>
      </c>
      <c r="CQ8">
        <v>788</v>
      </c>
      <c r="CR8">
        <v>551</v>
      </c>
      <c r="CS8">
        <v>389</v>
      </c>
      <c r="CT8">
        <v>292</v>
      </c>
      <c r="CU8">
        <v>227</v>
      </c>
      <c r="CV8">
        <v>210</v>
      </c>
      <c r="CW8">
        <v>124</v>
      </c>
      <c r="CX8">
        <v>87</v>
      </c>
      <c r="CY8">
        <v>64</v>
      </c>
      <c r="CZ8">
        <v>44</v>
      </c>
      <c r="DA8">
        <v>64</v>
      </c>
      <c r="DB8">
        <v>3469</v>
      </c>
    </row>
    <row r="9" spans="1:106" x14ac:dyDescent="0.4">
      <c r="B9">
        <v>301</v>
      </c>
      <c r="C9" t="s">
        <v>27</v>
      </c>
      <c r="D9">
        <v>420645</v>
      </c>
      <c r="E9">
        <v>2834</v>
      </c>
      <c r="F9">
        <v>2999</v>
      </c>
      <c r="G9">
        <v>3029</v>
      </c>
      <c r="H9">
        <v>3069</v>
      </c>
      <c r="I9">
        <v>3168</v>
      </c>
      <c r="J9">
        <v>3254</v>
      </c>
      <c r="K9">
        <v>3192</v>
      </c>
      <c r="L9">
        <v>3227</v>
      </c>
      <c r="M9">
        <v>3261</v>
      </c>
      <c r="N9">
        <v>3251</v>
      </c>
      <c r="O9">
        <v>3192</v>
      </c>
      <c r="P9">
        <v>3372</v>
      </c>
      <c r="Q9">
        <v>3347</v>
      </c>
      <c r="R9">
        <v>3441</v>
      </c>
      <c r="S9">
        <v>3483</v>
      </c>
      <c r="T9">
        <v>3624</v>
      </c>
      <c r="U9">
        <v>3655</v>
      </c>
      <c r="V9">
        <v>3771</v>
      </c>
      <c r="W9">
        <v>4102</v>
      </c>
      <c r="X9">
        <v>4348</v>
      </c>
      <c r="Y9">
        <v>4404</v>
      </c>
      <c r="Z9">
        <v>4220</v>
      </c>
      <c r="AA9">
        <v>3863</v>
      </c>
      <c r="AB9">
        <v>3785</v>
      </c>
      <c r="AC9">
        <v>3667</v>
      </c>
      <c r="AD9">
        <v>3673</v>
      </c>
      <c r="AE9">
        <v>3913</v>
      </c>
      <c r="AF9">
        <v>3917</v>
      </c>
      <c r="AG9">
        <v>4187</v>
      </c>
      <c r="AH9">
        <v>4289</v>
      </c>
      <c r="AI9">
        <v>4277</v>
      </c>
      <c r="AJ9">
        <v>4506</v>
      </c>
      <c r="AK9">
        <v>4598</v>
      </c>
      <c r="AL9">
        <v>4611</v>
      </c>
      <c r="AM9">
        <v>4718</v>
      </c>
      <c r="AN9">
        <v>4956</v>
      </c>
      <c r="AO9">
        <v>5044</v>
      </c>
      <c r="AP9">
        <v>5371</v>
      </c>
      <c r="AQ9">
        <v>5474</v>
      </c>
      <c r="AR9">
        <v>5812</v>
      </c>
      <c r="AS9">
        <v>6090</v>
      </c>
      <c r="AT9">
        <v>6104</v>
      </c>
      <c r="AU9">
        <v>6273</v>
      </c>
      <c r="AV9">
        <v>5973</v>
      </c>
      <c r="AW9">
        <v>5842</v>
      </c>
      <c r="AX9">
        <v>5460</v>
      </c>
      <c r="AY9">
        <v>5582</v>
      </c>
      <c r="AZ9">
        <v>5391</v>
      </c>
      <c r="BA9">
        <v>5708</v>
      </c>
      <c r="BB9">
        <v>4407</v>
      </c>
      <c r="BC9">
        <v>5504</v>
      </c>
      <c r="BD9">
        <v>5063</v>
      </c>
      <c r="BE9">
        <v>5003</v>
      </c>
      <c r="BF9">
        <v>4751</v>
      </c>
      <c r="BG9">
        <v>4839</v>
      </c>
      <c r="BH9">
        <v>4896</v>
      </c>
      <c r="BI9">
        <v>4965</v>
      </c>
      <c r="BJ9">
        <v>4995</v>
      </c>
      <c r="BK9">
        <v>4961</v>
      </c>
      <c r="BL9">
        <v>5195</v>
      </c>
      <c r="BM9">
        <v>5569</v>
      </c>
      <c r="BN9">
        <v>5401</v>
      </c>
      <c r="BO9">
        <v>5730</v>
      </c>
      <c r="BP9">
        <v>6243</v>
      </c>
      <c r="BQ9">
        <v>6542</v>
      </c>
      <c r="BR9">
        <v>7085</v>
      </c>
      <c r="BS9">
        <v>7545</v>
      </c>
      <c r="BT9">
        <v>6869</v>
      </c>
      <c r="BU9">
        <v>6977</v>
      </c>
      <c r="BV9">
        <v>4049</v>
      </c>
      <c r="BW9">
        <v>4324</v>
      </c>
      <c r="BX9">
        <v>5283</v>
      </c>
      <c r="BY9">
        <v>5094</v>
      </c>
      <c r="BZ9">
        <v>5225</v>
      </c>
      <c r="CA9">
        <v>4978</v>
      </c>
      <c r="CB9">
        <v>4636</v>
      </c>
      <c r="CC9">
        <v>4208</v>
      </c>
      <c r="CD9">
        <v>4485</v>
      </c>
      <c r="CE9">
        <v>4418</v>
      </c>
      <c r="CF9">
        <v>4771</v>
      </c>
      <c r="CG9">
        <v>4271</v>
      </c>
      <c r="CH9">
        <v>3936</v>
      </c>
      <c r="CI9">
        <v>4249</v>
      </c>
      <c r="CJ9">
        <v>3920</v>
      </c>
      <c r="CK9">
        <v>3676</v>
      </c>
      <c r="CL9">
        <v>3387</v>
      </c>
      <c r="CM9">
        <v>3305</v>
      </c>
      <c r="CN9">
        <v>3014</v>
      </c>
      <c r="CO9">
        <v>2617</v>
      </c>
      <c r="CP9">
        <v>2444</v>
      </c>
      <c r="CQ9">
        <v>2072</v>
      </c>
      <c r="CR9">
        <v>1664</v>
      </c>
      <c r="CS9">
        <v>1492</v>
      </c>
      <c r="CT9">
        <v>1246</v>
      </c>
      <c r="CU9">
        <v>929</v>
      </c>
      <c r="CV9">
        <v>807</v>
      </c>
      <c r="CW9">
        <v>543</v>
      </c>
      <c r="CX9">
        <v>427</v>
      </c>
      <c r="CY9">
        <v>298</v>
      </c>
      <c r="CZ9">
        <v>211</v>
      </c>
      <c r="DA9">
        <v>400</v>
      </c>
      <c r="DB9">
        <v>2399</v>
      </c>
    </row>
    <row r="12" spans="1:106" x14ac:dyDescent="0.4">
      <c r="D12" t="s">
        <v>4</v>
      </c>
      <c r="E12" t="s">
        <v>5</v>
      </c>
      <c r="F12" t="s">
        <v>6</v>
      </c>
      <c r="G12" t="s">
        <v>7</v>
      </c>
      <c r="H12" t="s">
        <v>8</v>
      </c>
      <c r="I12" t="s">
        <v>9</v>
      </c>
      <c r="J12" t="s">
        <v>10</v>
      </c>
      <c r="K12" t="s">
        <v>11</v>
      </c>
      <c r="L12" t="s">
        <v>12</v>
      </c>
      <c r="M12" t="s">
        <v>13</v>
      </c>
      <c r="N12" t="s">
        <v>14</v>
      </c>
      <c r="O12" t="s">
        <v>15</v>
      </c>
      <c r="P12" t="s">
        <v>16</v>
      </c>
      <c r="Q12" t="s">
        <v>17</v>
      </c>
      <c r="R12" t="s">
        <v>18</v>
      </c>
      <c r="S12" t="s">
        <v>19</v>
      </c>
      <c r="T12" t="s">
        <v>20</v>
      </c>
      <c r="U12" t="s">
        <v>21</v>
      </c>
      <c r="V12" t="s">
        <v>22</v>
      </c>
      <c r="W12" t="s">
        <v>23</v>
      </c>
      <c r="X12" t="s">
        <v>24</v>
      </c>
      <c r="Y12" t="s">
        <v>25</v>
      </c>
    </row>
    <row r="13" spans="1:106" x14ac:dyDescent="0.4">
      <c r="B13" t="s">
        <v>289</v>
      </c>
      <c r="C13" t="s">
        <v>27</v>
      </c>
      <c r="D13">
        <v>15779</v>
      </c>
      <c r="E13">
        <v>16782</v>
      </c>
      <c r="F13">
        <v>17687</v>
      </c>
      <c r="G13">
        <v>20145</v>
      </c>
      <c r="H13">
        <v>19957</v>
      </c>
      <c r="I13">
        <v>19728</v>
      </c>
      <c r="J13">
        <v>22607</v>
      </c>
      <c r="K13">
        <v>27047</v>
      </c>
      <c r="L13">
        <v>30219</v>
      </c>
      <c r="M13">
        <v>26602</v>
      </c>
      <c r="N13">
        <v>24540</v>
      </c>
      <c r="O13">
        <v>24455</v>
      </c>
      <c r="P13">
        <v>28243</v>
      </c>
      <c r="Q13">
        <v>30304</v>
      </c>
      <c r="R13">
        <v>21683</v>
      </c>
      <c r="S13">
        <v>17529</v>
      </c>
      <c r="T13">
        <v>12684</v>
      </c>
      <c r="U13">
        <v>7212</v>
      </c>
      <c r="V13">
        <v>2247</v>
      </c>
      <c r="W13">
        <v>529</v>
      </c>
      <c r="X13">
        <v>64</v>
      </c>
      <c r="Y13">
        <v>3469</v>
      </c>
    </row>
    <row r="14" spans="1:106" x14ac:dyDescent="0.4">
      <c r="B14" t="s">
        <v>257</v>
      </c>
      <c r="C14" t="s">
        <v>27</v>
      </c>
      <c r="D14">
        <v>15099</v>
      </c>
      <c r="E14">
        <v>16185</v>
      </c>
      <c r="F14">
        <v>16835</v>
      </c>
      <c r="G14">
        <v>19500</v>
      </c>
      <c r="H14">
        <v>19939</v>
      </c>
      <c r="I14">
        <v>19979</v>
      </c>
      <c r="J14">
        <v>22710</v>
      </c>
      <c r="K14">
        <v>26657</v>
      </c>
      <c r="L14">
        <v>30282</v>
      </c>
      <c r="M14">
        <v>26548</v>
      </c>
      <c r="N14">
        <v>25160</v>
      </c>
      <c r="O14">
        <v>25012</v>
      </c>
      <c r="P14">
        <v>29485</v>
      </c>
      <c r="Q14">
        <v>32525</v>
      </c>
      <c r="R14">
        <v>24904</v>
      </c>
      <c r="S14">
        <v>22518</v>
      </c>
      <c r="T14">
        <v>20052</v>
      </c>
      <c r="U14">
        <v>14767</v>
      </c>
      <c r="V14">
        <v>7403</v>
      </c>
      <c r="W14">
        <v>2286</v>
      </c>
      <c r="X14">
        <v>400</v>
      </c>
      <c r="Y14">
        <v>2399</v>
      </c>
    </row>
    <row r="17" spans="1:22" x14ac:dyDescent="0.4">
      <c r="A17" s="45" t="s">
        <v>403</v>
      </c>
    </row>
    <row r="19" spans="1:22" x14ac:dyDescent="0.4">
      <c r="E19" t="s">
        <v>238</v>
      </c>
      <c r="F19" t="s">
        <v>239</v>
      </c>
      <c r="G19" t="s">
        <v>240</v>
      </c>
      <c r="H19" t="s">
        <v>241</v>
      </c>
      <c r="I19" t="s">
        <v>242</v>
      </c>
      <c r="J19" t="s">
        <v>243</v>
      </c>
      <c r="K19" t="s">
        <v>244</v>
      </c>
      <c r="L19" t="s">
        <v>245</v>
      </c>
      <c r="M19" t="s">
        <v>246</v>
      </c>
      <c r="N19" t="s">
        <v>247</v>
      </c>
      <c r="O19" t="s">
        <v>248</v>
      </c>
      <c r="P19" t="s">
        <v>249</v>
      </c>
      <c r="Q19" t="s">
        <v>250</v>
      </c>
      <c r="R19" t="s">
        <v>251</v>
      </c>
      <c r="S19" t="s">
        <v>252</v>
      </c>
      <c r="T19" t="s">
        <v>253</v>
      </c>
      <c r="U19" t="s">
        <v>254</v>
      </c>
      <c r="V19" t="s">
        <v>255</v>
      </c>
    </row>
    <row r="20" spans="1:22" x14ac:dyDescent="0.4">
      <c r="B20" t="s">
        <v>289</v>
      </c>
      <c r="C20" t="s">
        <v>27</v>
      </c>
      <c r="D20" t="s">
        <v>232</v>
      </c>
      <c r="E20">
        <v>0.99922999999999995</v>
      </c>
      <c r="F20">
        <v>0.99951000000000001</v>
      </c>
      <c r="G20">
        <v>0.99890999999999996</v>
      </c>
      <c r="H20">
        <v>0.99744999999999995</v>
      </c>
      <c r="I20">
        <v>0.99673</v>
      </c>
      <c r="J20">
        <v>0.99668999999999996</v>
      </c>
      <c r="K20">
        <v>0.99589000000000005</v>
      </c>
      <c r="L20">
        <v>0.99428000000000005</v>
      </c>
      <c r="M20">
        <v>0.99145000000000005</v>
      </c>
      <c r="N20">
        <v>0.98650000000000004</v>
      </c>
      <c r="O20">
        <v>0.97901000000000005</v>
      </c>
      <c r="P20">
        <v>0.96877000000000002</v>
      </c>
      <c r="Q20">
        <v>0.95043</v>
      </c>
      <c r="R20">
        <v>0.92413000000000001</v>
      </c>
      <c r="S20">
        <v>0.88317000000000001</v>
      </c>
      <c r="T20">
        <v>0.79795000000000005</v>
      </c>
      <c r="U20">
        <v>0.66269</v>
      </c>
      <c r="V20">
        <v>0.40822999999999998</v>
      </c>
    </row>
    <row r="21" spans="1:22" x14ac:dyDescent="0.4">
      <c r="C21" t="s">
        <v>27</v>
      </c>
      <c r="D21" t="s">
        <v>233</v>
      </c>
      <c r="E21">
        <v>0.99931999999999999</v>
      </c>
      <c r="F21">
        <v>0.99955000000000005</v>
      </c>
      <c r="G21">
        <v>0.999</v>
      </c>
      <c r="H21">
        <v>0.99761999999999995</v>
      </c>
      <c r="I21">
        <v>0.99687000000000003</v>
      </c>
      <c r="J21">
        <v>0.99683999999999995</v>
      </c>
      <c r="K21">
        <v>0.99612000000000001</v>
      </c>
      <c r="L21">
        <v>0.99460999999999999</v>
      </c>
      <c r="M21">
        <v>0.99194000000000004</v>
      </c>
      <c r="N21">
        <v>0.98726999999999998</v>
      </c>
      <c r="O21">
        <v>0.98016000000000003</v>
      </c>
      <c r="P21">
        <v>0.97045000000000003</v>
      </c>
      <c r="Q21">
        <v>0.95281000000000005</v>
      </c>
      <c r="R21">
        <v>0.92764999999999997</v>
      </c>
      <c r="S21">
        <v>0.88912000000000002</v>
      </c>
      <c r="T21">
        <v>0.80915999999999999</v>
      </c>
      <c r="U21">
        <v>0.67886000000000002</v>
      </c>
      <c r="V21">
        <v>0.42147000000000001</v>
      </c>
    </row>
    <row r="22" spans="1:22" x14ac:dyDescent="0.4">
      <c r="C22" t="s">
        <v>27</v>
      </c>
      <c r="D22" t="s">
        <v>234</v>
      </c>
      <c r="E22">
        <v>0.99939</v>
      </c>
      <c r="F22">
        <v>0.99958999999999998</v>
      </c>
      <c r="G22">
        <v>0.99909000000000003</v>
      </c>
      <c r="H22">
        <v>0.99778</v>
      </c>
      <c r="I22">
        <v>0.99700999999999995</v>
      </c>
      <c r="J22">
        <v>0.99697999999999998</v>
      </c>
      <c r="K22">
        <v>0.99633000000000005</v>
      </c>
      <c r="L22">
        <v>0.99492000000000003</v>
      </c>
      <c r="M22">
        <v>0.99238999999999999</v>
      </c>
      <c r="N22">
        <v>0.98797000000000001</v>
      </c>
      <c r="O22">
        <v>0.98119999999999996</v>
      </c>
      <c r="P22">
        <v>0.97192999999999996</v>
      </c>
      <c r="Q22">
        <v>0.95491999999999999</v>
      </c>
      <c r="R22">
        <v>0.93071999999999999</v>
      </c>
      <c r="S22">
        <v>0.89409000000000005</v>
      </c>
      <c r="T22">
        <v>0.81896999999999998</v>
      </c>
      <c r="U22">
        <v>0.69345000000000001</v>
      </c>
      <c r="V22">
        <v>0.43340000000000001</v>
      </c>
    </row>
    <row r="23" spans="1:22" x14ac:dyDescent="0.4">
      <c r="C23" t="s">
        <v>27</v>
      </c>
      <c r="D23" t="s">
        <v>235</v>
      </c>
      <c r="E23">
        <v>0.99944999999999995</v>
      </c>
      <c r="F23">
        <v>0.99963000000000002</v>
      </c>
      <c r="G23">
        <v>0.99917</v>
      </c>
      <c r="H23">
        <v>0.99792000000000003</v>
      </c>
      <c r="I23">
        <v>0.99714000000000003</v>
      </c>
      <c r="J23">
        <v>0.99711000000000005</v>
      </c>
      <c r="K23">
        <v>0.99651999999999996</v>
      </c>
      <c r="L23">
        <v>0.99519000000000002</v>
      </c>
      <c r="M23">
        <v>0.99278999999999995</v>
      </c>
      <c r="N23">
        <v>0.98858999999999997</v>
      </c>
      <c r="O23">
        <v>0.98211999999999999</v>
      </c>
      <c r="P23">
        <v>0.97321000000000002</v>
      </c>
      <c r="Q23">
        <v>0.95676000000000005</v>
      </c>
      <c r="R23">
        <v>0.93342999999999998</v>
      </c>
      <c r="S23">
        <v>0.89836000000000005</v>
      </c>
      <c r="T23">
        <v>0.82759000000000005</v>
      </c>
      <c r="U23">
        <v>0.70667999999999997</v>
      </c>
      <c r="V23">
        <v>0.44436999999999999</v>
      </c>
    </row>
    <row r="24" spans="1:22" x14ac:dyDescent="0.4">
      <c r="C24" t="s">
        <v>27</v>
      </c>
      <c r="D24" t="s">
        <v>236</v>
      </c>
      <c r="E24">
        <v>0.99950000000000006</v>
      </c>
      <c r="F24">
        <v>0.99965999999999999</v>
      </c>
      <c r="G24">
        <v>0.99924000000000002</v>
      </c>
      <c r="H24">
        <v>0.99804999999999999</v>
      </c>
      <c r="I24">
        <v>0.99726000000000004</v>
      </c>
      <c r="J24">
        <v>0.99724000000000002</v>
      </c>
      <c r="K24">
        <v>0.99668999999999996</v>
      </c>
      <c r="L24">
        <v>0.99543999999999999</v>
      </c>
      <c r="M24">
        <v>0.99314999999999998</v>
      </c>
      <c r="N24">
        <v>0.98914000000000002</v>
      </c>
      <c r="O24">
        <v>0.98294000000000004</v>
      </c>
      <c r="P24">
        <v>0.97431999999999996</v>
      </c>
      <c r="Q24">
        <v>0.95837000000000006</v>
      </c>
      <c r="R24">
        <v>0.93584000000000001</v>
      </c>
      <c r="S24">
        <v>0.90208999999999995</v>
      </c>
      <c r="T24">
        <v>0.83520000000000005</v>
      </c>
      <c r="U24">
        <v>0.71870999999999996</v>
      </c>
      <c r="V24">
        <v>0.45450000000000002</v>
      </c>
    </row>
    <row r="25" spans="1:22" x14ac:dyDescent="0.4">
      <c r="C25" t="s">
        <v>27</v>
      </c>
      <c r="D25" t="s">
        <v>237</v>
      </c>
      <c r="E25">
        <v>0.99953999999999998</v>
      </c>
      <c r="F25">
        <v>0.99970000000000003</v>
      </c>
      <c r="G25">
        <v>0.99929999999999997</v>
      </c>
      <c r="H25">
        <v>0.99817</v>
      </c>
      <c r="I25">
        <v>0.99736999999999998</v>
      </c>
      <c r="J25">
        <v>0.99734999999999996</v>
      </c>
      <c r="K25">
        <v>0.99685000000000001</v>
      </c>
      <c r="L25">
        <v>0.99567000000000005</v>
      </c>
      <c r="M25">
        <v>0.99346999999999996</v>
      </c>
      <c r="N25">
        <v>0.98963999999999996</v>
      </c>
      <c r="O25">
        <v>0.98368</v>
      </c>
      <c r="P25">
        <v>0.97529999999999994</v>
      </c>
      <c r="Q25">
        <v>0.95979000000000003</v>
      </c>
      <c r="R25">
        <v>0.93798000000000004</v>
      </c>
      <c r="S25">
        <v>0.90536000000000005</v>
      </c>
      <c r="T25">
        <v>0.84194000000000002</v>
      </c>
      <c r="U25">
        <v>0.72968</v>
      </c>
      <c r="V25">
        <v>0.46384999999999998</v>
      </c>
    </row>
    <row r="26" spans="1:22" x14ac:dyDescent="0.4">
      <c r="B26" t="s">
        <v>257</v>
      </c>
      <c r="C26" t="s">
        <v>27</v>
      </c>
      <c r="D26" t="s">
        <v>232</v>
      </c>
      <c r="E26">
        <v>0.99922999999999995</v>
      </c>
      <c r="F26">
        <v>0.99966999999999995</v>
      </c>
      <c r="G26">
        <v>0.99968000000000001</v>
      </c>
      <c r="H26">
        <v>0.99888999999999994</v>
      </c>
      <c r="I26">
        <v>0.99853999999999998</v>
      </c>
      <c r="J26">
        <v>0.99836999999999998</v>
      </c>
      <c r="K26">
        <v>0.99777000000000005</v>
      </c>
      <c r="L26">
        <v>0.99685999999999997</v>
      </c>
      <c r="M26">
        <v>0.99548999999999999</v>
      </c>
      <c r="N26">
        <v>0.99348999999999998</v>
      </c>
      <c r="O26">
        <v>0.99043000000000003</v>
      </c>
      <c r="P26">
        <v>0.98716000000000004</v>
      </c>
      <c r="Q26">
        <v>0.98124</v>
      </c>
      <c r="R26">
        <v>0.97119999999999995</v>
      </c>
      <c r="S26">
        <v>0.95047000000000004</v>
      </c>
      <c r="T26">
        <v>0.90439999999999998</v>
      </c>
      <c r="U26">
        <v>0.81494</v>
      </c>
      <c r="V26">
        <v>0.50473000000000001</v>
      </c>
    </row>
    <row r="27" spans="1:22" x14ac:dyDescent="0.4">
      <c r="C27" t="s">
        <v>27</v>
      </c>
      <c r="D27" t="s">
        <v>233</v>
      </c>
      <c r="E27">
        <v>0.99929999999999997</v>
      </c>
      <c r="F27">
        <v>0.99970000000000003</v>
      </c>
      <c r="G27">
        <v>0.99970000000000003</v>
      </c>
      <c r="H27">
        <v>0.99895999999999996</v>
      </c>
      <c r="I27">
        <v>0.99861999999999995</v>
      </c>
      <c r="J27">
        <v>0.99846000000000001</v>
      </c>
      <c r="K27">
        <v>0.99789000000000005</v>
      </c>
      <c r="L27">
        <v>0.99702999999999997</v>
      </c>
      <c r="M27">
        <v>0.99573999999999996</v>
      </c>
      <c r="N27">
        <v>0.99382999999999999</v>
      </c>
      <c r="O27">
        <v>0.99090999999999996</v>
      </c>
      <c r="P27">
        <v>0.98780999999999997</v>
      </c>
      <c r="Q27">
        <v>0.98229</v>
      </c>
      <c r="R27">
        <v>0.97284000000000004</v>
      </c>
      <c r="S27">
        <v>0.95376000000000005</v>
      </c>
      <c r="T27">
        <v>0.91135999999999995</v>
      </c>
      <c r="U27">
        <v>0.82794000000000001</v>
      </c>
      <c r="V27">
        <v>0.51831000000000005</v>
      </c>
    </row>
    <row r="28" spans="1:22" x14ac:dyDescent="0.4">
      <c r="C28" t="s">
        <v>27</v>
      </c>
      <c r="D28" t="s">
        <v>234</v>
      </c>
      <c r="E28">
        <v>0.99936999999999998</v>
      </c>
      <c r="F28">
        <v>0.99973000000000001</v>
      </c>
      <c r="G28">
        <v>0.99970999999999999</v>
      </c>
      <c r="H28">
        <v>0.99902000000000002</v>
      </c>
      <c r="I28">
        <v>0.99870000000000003</v>
      </c>
      <c r="J28">
        <v>0.99853999999999998</v>
      </c>
      <c r="K28">
        <v>0.99800999999999995</v>
      </c>
      <c r="L28">
        <v>0.99717999999999996</v>
      </c>
      <c r="M28">
        <v>0.99595</v>
      </c>
      <c r="N28">
        <v>0.99412999999999996</v>
      </c>
      <c r="O28">
        <v>0.99131999999999998</v>
      </c>
      <c r="P28">
        <v>0.98836999999999997</v>
      </c>
      <c r="Q28">
        <v>0.98318000000000005</v>
      </c>
      <c r="R28">
        <v>0.97421000000000002</v>
      </c>
      <c r="S28">
        <v>0.95643999999999996</v>
      </c>
      <c r="T28">
        <v>0.91722000000000004</v>
      </c>
      <c r="U28">
        <v>0.83904999999999996</v>
      </c>
      <c r="V28">
        <v>0.53039000000000003</v>
      </c>
    </row>
    <row r="29" spans="1:22" x14ac:dyDescent="0.4">
      <c r="C29" t="s">
        <v>27</v>
      </c>
      <c r="D29" t="s">
        <v>235</v>
      </c>
      <c r="E29">
        <v>0.99941999999999998</v>
      </c>
      <c r="F29">
        <v>0.99975000000000003</v>
      </c>
      <c r="G29">
        <v>0.99972000000000005</v>
      </c>
      <c r="H29">
        <v>0.99907999999999997</v>
      </c>
      <c r="I29">
        <v>0.99878</v>
      </c>
      <c r="J29">
        <v>0.99861</v>
      </c>
      <c r="K29">
        <v>0.99811000000000005</v>
      </c>
      <c r="L29">
        <v>0.99731999999999998</v>
      </c>
      <c r="M29">
        <v>0.99614000000000003</v>
      </c>
      <c r="N29">
        <v>0.99438000000000004</v>
      </c>
      <c r="O29">
        <v>0.99168000000000001</v>
      </c>
      <c r="P29">
        <v>0.98882999999999999</v>
      </c>
      <c r="Q29">
        <v>0.98392999999999997</v>
      </c>
      <c r="R29">
        <v>0.97536</v>
      </c>
      <c r="S29">
        <v>0.95864000000000005</v>
      </c>
      <c r="T29">
        <v>0.92215999999999998</v>
      </c>
      <c r="U29">
        <v>0.84867000000000004</v>
      </c>
      <c r="V29">
        <v>0.54129000000000005</v>
      </c>
    </row>
    <row r="30" spans="1:22" x14ac:dyDescent="0.4">
      <c r="C30" t="s">
        <v>27</v>
      </c>
      <c r="D30" t="s">
        <v>236</v>
      </c>
      <c r="E30">
        <v>0.99946999999999997</v>
      </c>
      <c r="F30">
        <v>0.99977000000000005</v>
      </c>
      <c r="G30">
        <v>0.99973000000000001</v>
      </c>
      <c r="H30">
        <v>0.99912999999999996</v>
      </c>
      <c r="I30">
        <v>0.99883999999999995</v>
      </c>
      <c r="J30">
        <v>0.99868000000000001</v>
      </c>
      <c r="K30">
        <v>0.99819999999999998</v>
      </c>
      <c r="L30">
        <v>0.99743999999999999</v>
      </c>
      <c r="M30">
        <v>0.99629999999999996</v>
      </c>
      <c r="N30">
        <v>0.99460000000000004</v>
      </c>
      <c r="O30">
        <v>0.99199000000000004</v>
      </c>
      <c r="P30">
        <v>0.98921999999999999</v>
      </c>
      <c r="Q30">
        <v>0.98456999999999995</v>
      </c>
      <c r="R30">
        <v>0.97633000000000003</v>
      </c>
      <c r="S30">
        <v>0.96045999999999998</v>
      </c>
      <c r="T30">
        <v>0.92632999999999999</v>
      </c>
      <c r="U30">
        <v>0.85702999999999996</v>
      </c>
      <c r="V30">
        <v>0.55117000000000005</v>
      </c>
    </row>
    <row r="31" spans="1:22" x14ac:dyDescent="0.4">
      <c r="C31" t="s">
        <v>27</v>
      </c>
      <c r="D31" t="s">
        <v>237</v>
      </c>
      <c r="E31">
        <v>0.99951999999999996</v>
      </c>
      <c r="F31">
        <v>0.99978999999999996</v>
      </c>
      <c r="G31">
        <v>0.99973999999999996</v>
      </c>
      <c r="H31">
        <v>0.99917999999999996</v>
      </c>
      <c r="I31">
        <v>0.99890999999999996</v>
      </c>
      <c r="J31">
        <v>0.99873000000000001</v>
      </c>
      <c r="K31">
        <v>0.99827999999999995</v>
      </c>
      <c r="L31">
        <v>0.99755000000000005</v>
      </c>
      <c r="M31">
        <v>0.99643999999999999</v>
      </c>
      <c r="N31">
        <v>0.99478</v>
      </c>
      <c r="O31">
        <v>0.99226000000000003</v>
      </c>
      <c r="P31">
        <v>0.98953999999999998</v>
      </c>
      <c r="Q31">
        <v>0.98509999999999998</v>
      </c>
      <c r="R31">
        <v>0.97714999999999996</v>
      </c>
      <c r="S31">
        <v>0.96196999999999999</v>
      </c>
      <c r="T31">
        <v>0.92988000000000004</v>
      </c>
      <c r="U31">
        <v>0.86431000000000002</v>
      </c>
      <c r="V31">
        <v>0.56013000000000002</v>
      </c>
    </row>
    <row r="34" spans="1:22" x14ac:dyDescent="0.4">
      <c r="A34" s="45" t="s">
        <v>404</v>
      </c>
    </row>
    <row r="36" spans="1:22" x14ac:dyDescent="0.4">
      <c r="E36" t="s">
        <v>238</v>
      </c>
      <c r="F36" t="s">
        <v>239</v>
      </c>
      <c r="G36" t="s">
        <v>240</v>
      </c>
      <c r="H36" t="s">
        <v>241</v>
      </c>
      <c r="I36" t="s">
        <v>242</v>
      </c>
      <c r="J36" t="s">
        <v>243</v>
      </c>
      <c r="K36" t="s">
        <v>244</v>
      </c>
      <c r="L36" t="s">
        <v>245</v>
      </c>
      <c r="M36" t="s">
        <v>246</v>
      </c>
      <c r="N36" t="s">
        <v>247</v>
      </c>
      <c r="O36" t="s">
        <v>248</v>
      </c>
      <c r="P36" t="s">
        <v>249</v>
      </c>
      <c r="Q36" t="s">
        <v>250</v>
      </c>
      <c r="R36" t="s">
        <v>251</v>
      </c>
      <c r="S36" t="s">
        <v>252</v>
      </c>
      <c r="T36" t="s">
        <v>253</v>
      </c>
      <c r="U36" t="s">
        <v>254</v>
      </c>
      <c r="V36" t="s">
        <v>255</v>
      </c>
    </row>
    <row r="37" spans="1:22" x14ac:dyDescent="0.4">
      <c r="B37" t="s">
        <v>289</v>
      </c>
      <c r="C37" t="s">
        <v>27</v>
      </c>
      <c r="D37" t="s">
        <v>232</v>
      </c>
      <c r="E37">
        <v>1.6199999999999999E-2</v>
      </c>
      <c r="F37">
        <v>1.074E-2</v>
      </c>
      <c r="G37">
        <v>3.8150000000000003E-2</v>
      </c>
      <c r="H37">
        <v>1.58E-3</v>
      </c>
      <c r="I37">
        <v>-5.7160000000000002E-2</v>
      </c>
      <c r="J37">
        <v>2.4819999999999998E-2</v>
      </c>
      <c r="K37">
        <v>3.3430000000000001E-2</v>
      </c>
      <c r="L37">
        <v>1.244E-2</v>
      </c>
      <c r="M37">
        <v>9.75E-3</v>
      </c>
      <c r="N37">
        <v>1.5299999999999999E-3</v>
      </c>
      <c r="O37">
        <v>9.92E-3</v>
      </c>
      <c r="P37">
        <v>2.1700000000000001E-2</v>
      </c>
      <c r="Q37">
        <v>5.9899999999999997E-3</v>
      </c>
      <c r="R37">
        <v>4.7499999999999999E-3</v>
      </c>
      <c r="S37">
        <v>3.7499999999999999E-3</v>
      </c>
      <c r="T37">
        <v>3.7599999999999999E-3</v>
      </c>
      <c r="U37">
        <v>9.7300000000000008E-3</v>
      </c>
      <c r="V37">
        <v>5.0479999999999997E-2</v>
      </c>
    </row>
    <row r="38" spans="1:22" x14ac:dyDescent="0.4">
      <c r="C38" t="s">
        <v>27</v>
      </c>
      <c r="D38" t="s">
        <v>233</v>
      </c>
      <c r="E38">
        <v>1.636E-2</v>
      </c>
      <c r="F38">
        <v>1.0449999999999999E-2</v>
      </c>
      <c r="G38">
        <v>3.3439999999999998E-2</v>
      </c>
      <c r="H38">
        <v>-4.2100000000000002E-3</v>
      </c>
      <c r="I38">
        <v>-5.8119999999999998E-2</v>
      </c>
      <c r="J38">
        <v>2.4070000000000001E-2</v>
      </c>
      <c r="K38">
        <v>3.5430000000000003E-2</v>
      </c>
      <c r="L38">
        <v>1.524E-2</v>
      </c>
      <c r="M38">
        <v>8.7299999999999999E-3</v>
      </c>
      <c r="N38">
        <v>7.2000000000000005E-4</v>
      </c>
      <c r="O38">
        <v>9.0900000000000009E-3</v>
      </c>
      <c r="P38">
        <v>2.2159999999999999E-2</v>
      </c>
      <c r="Q38">
        <v>6.8399999999999997E-3</v>
      </c>
      <c r="R38">
        <v>3.2699999999999999E-3</v>
      </c>
      <c r="S38">
        <v>6.2100000000000002E-3</v>
      </c>
      <c r="T38">
        <v>1.74E-3</v>
      </c>
      <c r="U38">
        <v>7.1199999999999996E-3</v>
      </c>
      <c r="V38">
        <v>4.2459999999999998E-2</v>
      </c>
    </row>
    <row r="39" spans="1:22" x14ac:dyDescent="0.4">
      <c r="C39" t="s">
        <v>27</v>
      </c>
      <c r="D39" t="s">
        <v>234</v>
      </c>
      <c r="E39">
        <v>1.66E-2</v>
      </c>
      <c r="F39">
        <v>1.018E-2</v>
      </c>
      <c r="G39">
        <v>3.0540000000000001E-2</v>
      </c>
      <c r="H39">
        <v>-1.2239999999999999E-2</v>
      </c>
      <c r="I39">
        <v>-5.9909999999999998E-2</v>
      </c>
      <c r="J39">
        <v>2.12E-2</v>
      </c>
      <c r="K39">
        <v>3.4860000000000002E-2</v>
      </c>
      <c r="L39">
        <v>1.473E-2</v>
      </c>
      <c r="M39">
        <v>1.035E-2</v>
      </c>
      <c r="N39">
        <v>-1.09E-3</v>
      </c>
      <c r="O39">
        <v>8.0400000000000003E-3</v>
      </c>
      <c r="P39">
        <v>2.1999999999999999E-2</v>
      </c>
      <c r="Q39">
        <v>7.5500000000000003E-3</v>
      </c>
      <c r="R39">
        <v>3.9100000000000003E-3</v>
      </c>
      <c r="S39">
        <v>3.49E-3</v>
      </c>
      <c r="T39">
        <v>6.1700000000000001E-3</v>
      </c>
      <c r="U39">
        <v>4.0099999999999997E-3</v>
      </c>
      <c r="V39">
        <v>3.3180000000000001E-2</v>
      </c>
    </row>
    <row r="40" spans="1:22" x14ac:dyDescent="0.4">
      <c r="C40" t="s">
        <v>27</v>
      </c>
      <c r="D40" t="s">
        <v>235</v>
      </c>
      <c r="E40">
        <v>1.6979999999999999E-2</v>
      </c>
      <c r="F40">
        <v>1.013E-2</v>
      </c>
      <c r="G40">
        <v>2.836E-2</v>
      </c>
      <c r="H40">
        <v>-1.6119999999999999E-2</v>
      </c>
      <c r="I40">
        <v>-6.1310000000000003E-2</v>
      </c>
      <c r="J40">
        <v>1.8939999999999999E-2</v>
      </c>
      <c r="K40">
        <v>3.0450000000000001E-2</v>
      </c>
      <c r="L40">
        <v>1.3310000000000001E-2</v>
      </c>
      <c r="M40">
        <v>9.9100000000000004E-3</v>
      </c>
      <c r="N40">
        <v>3.0000000000000001E-5</v>
      </c>
      <c r="O40">
        <v>8.8100000000000001E-3</v>
      </c>
      <c r="P40">
        <v>2.085E-2</v>
      </c>
      <c r="Q40">
        <v>7.4999999999999997E-3</v>
      </c>
      <c r="R40">
        <v>4.2500000000000003E-3</v>
      </c>
      <c r="S40">
        <v>4.4299999999999999E-3</v>
      </c>
      <c r="T40">
        <v>8.7000000000000001E-4</v>
      </c>
      <c r="U40">
        <v>1.1220000000000001E-2</v>
      </c>
      <c r="V40">
        <v>2.9229999999999999E-2</v>
      </c>
    </row>
    <row r="41" spans="1:22" x14ac:dyDescent="0.4">
      <c r="C41" t="s">
        <v>27</v>
      </c>
      <c r="D41" t="s">
        <v>236</v>
      </c>
      <c r="E41">
        <v>1.7100000000000001E-2</v>
      </c>
      <c r="F41">
        <v>1.01E-2</v>
      </c>
      <c r="G41">
        <v>2.6440000000000002E-2</v>
      </c>
      <c r="H41">
        <v>-1.891E-2</v>
      </c>
      <c r="I41">
        <v>-6.1510000000000002E-2</v>
      </c>
      <c r="J41">
        <v>1.6910000000000001E-2</v>
      </c>
      <c r="K41">
        <v>2.8459999999999999E-2</v>
      </c>
      <c r="L41">
        <v>1.2749999999999999E-2</v>
      </c>
      <c r="M41">
        <v>8.7100000000000007E-3</v>
      </c>
      <c r="N41">
        <v>-1.3999999999999999E-4</v>
      </c>
      <c r="O41">
        <v>9.6399999999999993E-3</v>
      </c>
      <c r="P41">
        <v>2.1839999999999998E-2</v>
      </c>
      <c r="Q41">
        <v>6.6499999999999997E-3</v>
      </c>
      <c r="R41">
        <v>4.3E-3</v>
      </c>
      <c r="S41">
        <v>4.8799999999999998E-3</v>
      </c>
      <c r="T41">
        <v>2.5699999999999998E-3</v>
      </c>
      <c r="U41">
        <v>3.5899999999999999E-3</v>
      </c>
      <c r="V41">
        <v>3.9730000000000001E-2</v>
      </c>
    </row>
    <row r="42" spans="1:22" x14ac:dyDescent="0.4">
      <c r="C42" t="s">
        <v>27</v>
      </c>
      <c r="D42" t="s">
        <v>237</v>
      </c>
      <c r="E42">
        <v>1.7409999999999998E-2</v>
      </c>
      <c r="F42">
        <v>9.9600000000000001E-3</v>
      </c>
      <c r="G42">
        <v>2.4420000000000001E-2</v>
      </c>
      <c r="H42">
        <v>-2.2200000000000001E-2</v>
      </c>
      <c r="I42">
        <v>-6.1629999999999997E-2</v>
      </c>
      <c r="J42">
        <v>1.653E-2</v>
      </c>
      <c r="K42">
        <v>2.6950000000000002E-2</v>
      </c>
      <c r="L42">
        <v>1.3950000000000001E-2</v>
      </c>
      <c r="M42">
        <v>8.0599999999999995E-3</v>
      </c>
      <c r="N42">
        <v>-7.2000000000000005E-4</v>
      </c>
      <c r="O42">
        <v>9.5600000000000008E-3</v>
      </c>
      <c r="P42">
        <v>2.2239999999999999E-2</v>
      </c>
      <c r="Q42">
        <v>6.0699999999999999E-3</v>
      </c>
      <c r="R42">
        <v>3.2799999999999999E-3</v>
      </c>
      <c r="S42">
        <v>5.0400000000000002E-3</v>
      </c>
      <c r="T42">
        <v>3.46E-3</v>
      </c>
      <c r="U42">
        <v>6.3699999999999998E-3</v>
      </c>
      <c r="V42">
        <v>1.44E-2</v>
      </c>
    </row>
    <row r="43" spans="1:22" x14ac:dyDescent="0.4">
      <c r="B43" t="s">
        <v>257</v>
      </c>
      <c r="C43" t="s">
        <v>27</v>
      </c>
      <c r="D43" t="s">
        <v>232</v>
      </c>
      <c r="E43">
        <v>2.0240000000000001E-2</v>
      </c>
      <c r="F43">
        <v>1.1730000000000001E-2</v>
      </c>
      <c r="G43">
        <v>6.8489999999999995E-2</v>
      </c>
      <c r="H43">
        <v>8.7100000000000007E-3</v>
      </c>
      <c r="I43">
        <v>-5.0360000000000002E-2</v>
      </c>
      <c r="J43">
        <v>1.154E-2</v>
      </c>
      <c r="K43">
        <v>1.6080000000000001E-2</v>
      </c>
      <c r="L43">
        <v>1.0319999999999999E-2</v>
      </c>
      <c r="M43">
        <v>2.47E-3</v>
      </c>
      <c r="N43">
        <v>-2.0000000000000002E-5</v>
      </c>
      <c r="O43">
        <v>4.1000000000000003E-3</v>
      </c>
      <c r="P43">
        <v>6.5799999999999999E-3</v>
      </c>
      <c r="Q43">
        <v>3.9300000000000003E-3</v>
      </c>
      <c r="R43">
        <v>1.3799999999999999E-3</v>
      </c>
      <c r="S43">
        <v>2.64E-3</v>
      </c>
      <c r="T43">
        <v>1.1860000000000001E-2</v>
      </c>
      <c r="U43">
        <v>1.504E-2</v>
      </c>
      <c r="V43">
        <v>6.4149999999999999E-2</v>
      </c>
    </row>
    <row r="44" spans="1:22" x14ac:dyDescent="0.4">
      <c r="C44" t="s">
        <v>27</v>
      </c>
      <c r="D44" t="s">
        <v>233</v>
      </c>
      <c r="E44">
        <v>2.0910000000000002E-2</v>
      </c>
      <c r="F44">
        <v>1.197E-2</v>
      </c>
      <c r="G44">
        <v>6.0359999999999997E-2</v>
      </c>
      <c r="H44">
        <v>4.6100000000000004E-3</v>
      </c>
      <c r="I44">
        <v>-4.861E-2</v>
      </c>
      <c r="J44">
        <v>9.2099999999999994E-3</v>
      </c>
      <c r="K44">
        <v>1.8069999999999999E-2</v>
      </c>
      <c r="L44">
        <v>1.2840000000000001E-2</v>
      </c>
      <c r="M44">
        <v>2.8900000000000002E-3</v>
      </c>
      <c r="N44">
        <v>-2.5000000000000001E-4</v>
      </c>
      <c r="O44">
        <v>3.9699999999999996E-3</v>
      </c>
      <c r="P44">
        <v>6.7099999999999998E-3</v>
      </c>
      <c r="Q44">
        <v>4.6299999999999996E-3</v>
      </c>
      <c r="R44">
        <v>9.2000000000000003E-4</v>
      </c>
      <c r="S44">
        <v>3.8500000000000001E-3</v>
      </c>
      <c r="T44">
        <v>1.0370000000000001E-2</v>
      </c>
      <c r="U44">
        <v>1.302E-2</v>
      </c>
      <c r="V44">
        <v>5.568E-2</v>
      </c>
    </row>
    <row r="45" spans="1:22" x14ac:dyDescent="0.4">
      <c r="C45" t="s">
        <v>27</v>
      </c>
      <c r="D45" t="s">
        <v>234</v>
      </c>
      <c r="E45">
        <v>2.1139999999999999E-2</v>
      </c>
      <c r="F45">
        <v>1.1820000000000001E-2</v>
      </c>
      <c r="G45">
        <v>5.704E-2</v>
      </c>
      <c r="H45">
        <v>-4.5799999999999999E-3</v>
      </c>
      <c r="I45">
        <v>-4.9730000000000003E-2</v>
      </c>
      <c r="J45">
        <v>1.0749999999999999E-2</v>
      </c>
      <c r="K45">
        <v>1.6250000000000001E-2</v>
      </c>
      <c r="L45">
        <v>1.2239999999999999E-2</v>
      </c>
      <c r="M45">
        <v>3.8500000000000001E-3</v>
      </c>
      <c r="N45">
        <v>-3.2000000000000003E-4</v>
      </c>
      <c r="O45">
        <v>3.81E-3</v>
      </c>
      <c r="P45">
        <v>6.7000000000000002E-3</v>
      </c>
      <c r="Q45">
        <v>4.6800000000000001E-3</v>
      </c>
      <c r="R45">
        <v>1.4E-3</v>
      </c>
      <c r="S45">
        <v>2.4199999999999998E-3</v>
      </c>
      <c r="T45">
        <v>1.3180000000000001E-2</v>
      </c>
      <c r="U45">
        <v>1.057E-2</v>
      </c>
      <c r="V45">
        <v>4.453E-2</v>
      </c>
    </row>
    <row r="46" spans="1:22" x14ac:dyDescent="0.4">
      <c r="C46" t="s">
        <v>27</v>
      </c>
      <c r="D46" t="s">
        <v>235</v>
      </c>
      <c r="E46">
        <v>2.1520000000000001E-2</v>
      </c>
      <c r="F46">
        <v>1.175E-2</v>
      </c>
      <c r="G46">
        <v>5.5129999999999998E-2</v>
      </c>
      <c r="H46">
        <v>-8.0400000000000003E-3</v>
      </c>
      <c r="I46">
        <v>-5.2290000000000003E-2</v>
      </c>
      <c r="J46">
        <v>9.4400000000000005E-3</v>
      </c>
      <c r="K46">
        <v>1.485E-2</v>
      </c>
      <c r="L46">
        <v>1.073E-2</v>
      </c>
      <c r="M46">
        <v>3.3899999999999998E-3</v>
      </c>
      <c r="N46">
        <v>2.0000000000000001E-4</v>
      </c>
      <c r="O46">
        <v>4.3200000000000001E-3</v>
      </c>
      <c r="P46">
        <v>6.5500000000000003E-3</v>
      </c>
      <c r="Q46">
        <v>4.4900000000000001E-3</v>
      </c>
      <c r="R46">
        <v>1.3699999999999999E-3</v>
      </c>
      <c r="S46">
        <v>3.13E-3</v>
      </c>
      <c r="T46">
        <v>1.0070000000000001E-2</v>
      </c>
      <c r="U46">
        <v>1.5699999999999999E-2</v>
      </c>
      <c r="V46">
        <v>4.2130000000000001E-2</v>
      </c>
    </row>
    <row r="47" spans="1:22" x14ac:dyDescent="0.4">
      <c r="C47" t="s">
        <v>27</v>
      </c>
      <c r="D47" t="s">
        <v>236</v>
      </c>
      <c r="E47">
        <v>2.1610000000000001E-2</v>
      </c>
      <c r="F47">
        <v>1.1690000000000001E-2</v>
      </c>
      <c r="G47">
        <v>5.2810000000000003E-2</v>
      </c>
      <c r="H47">
        <v>-1.034E-2</v>
      </c>
      <c r="I47">
        <v>-5.2580000000000002E-2</v>
      </c>
      <c r="J47">
        <v>6.9800000000000001E-3</v>
      </c>
      <c r="K47">
        <v>1.3769999999999999E-2</v>
      </c>
      <c r="L47">
        <v>1.1310000000000001E-2</v>
      </c>
      <c r="M47">
        <v>2.5000000000000001E-3</v>
      </c>
      <c r="N47">
        <v>-1.0000000000000001E-5</v>
      </c>
      <c r="O47">
        <v>4.4900000000000001E-3</v>
      </c>
      <c r="P47">
        <v>7.0200000000000002E-3</v>
      </c>
      <c r="Q47">
        <v>4.2100000000000002E-3</v>
      </c>
      <c r="R47">
        <v>1.4400000000000001E-3</v>
      </c>
      <c r="S47">
        <v>3.2799999999999999E-3</v>
      </c>
      <c r="T47">
        <v>1.153E-2</v>
      </c>
      <c r="U47">
        <v>1.0410000000000001E-2</v>
      </c>
      <c r="V47">
        <v>5.1970000000000002E-2</v>
      </c>
    </row>
    <row r="48" spans="1:22" x14ac:dyDescent="0.4">
      <c r="C48" t="s">
        <v>27</v>
      </c>
      <c r="D48" t="s">
        <v>237</v>
      </c>
      <c r="E48">
        <v>2.1870000000000001E-2</v>
      </c>
      <c r="F48">
        <v>1.1509999999999999E-2</v>
      </c>
      <c r="G48">
        <v>5.0310000000000001E-2</v>
      </c>
      <c r="H48">
        <v>-1.37E-2</v>
      </c>
      <c r="I48">
        <v>-5.2609999999999997E-2</v>
      </c>
      <c r="J48">
        <v>7.1399999999999996E-3</v>
      </c>
      <c r="K48">
        <v>1.213E-2</v>
      </c>
      <c r="L48">
        <v>1.187E-2</v>
      </c>
      <c r="M48">
        <v>2.7599999999999999E-3</v>
      </c>
      <c r="N48">
        <v>-3.5E-4</v>
      </c>
      <c r="O48">
        <v>4.7400000000000003E-3</v>
      </c>
      <c r="P48">
        <v>7.26E-3</v>
      </c>
      <c r="Q48">
        <v>4.2399999999999998E-3</v>
      </c>
      <c r="R48">
        <v>8.9999999999999998E-4</v>
      </c>
      <c r="S48">
        <v>3.4399999999999999E-3</v>
      </c>
      <c r="T48">
        <v>1.1979999999999999E-2</v>
      </c>
      <c r="U48">
        <v>1.3010000000000001E-2</v>
      </c>
      <c r="V48">
        <v>2.6790000000000001E-2</v>
      </c>
    </row>
    <row r="51" spans="1:6" x14ac:dyDescent="0.4">
      <c r="A51" s="45" t="s">
        <v>405</v>
      </c>
    </row>
    <row r="53" spans="1:6" x14ac:dyDescent="0.4">
      <c r="E53" t="s">
        <v>261</v>
      </c>
      <c r="F53" t="s">
        <v>262</v>
      </c>
    </row>
    <row r="54" spans="1:6" x14ac:dyDescent="0.4">
      <c r="C54" t="s">
        <v>27</v>
      </c>
      <c r="D54">
        <v>2020</v>
      </c>
      <c r="E54">
        <v>0.18664</v>
      </c>
      <c r="F54">
        <v>105.19616000000001</v>
      </c>
    </row>
    <row r="55" spans="1:6" x14ac:dyDescent="0.4">
      <c r="C55" t="s">
        <v>27</v>
      </c>
      <c r="D55">
        <v>2025</v>
      </c>
      <c r="E55">
        <v>0.18618999999999999</v>
      </c>
      <c r="F55">
        <v>105.19695</v>
      </c>
    </row>
    <row r="56" spans="1:6" x14ac:dyDescent="0.4">
      <c r="C56" t="s">
        <v>27</v>
      </c>
      <c r="D56">
        <v>2030</v>
      </c>
      <c r="E56">
        <v>0.19223999999999999</v>
      </c>
      <c r="F56">
        <v>105.19786000000001</v>
      </c>
    </row>
    <row r="57" spans="1:6" x14ac:dyDescent="0.4">
      <c r="C57" t="s">
        <v>27</v>
      </c>
      <c r="D57">
        <v>2035</v>
      </c>
      <c r="E57">
        <v>0.19647000000000001</v>
      </c>
      <c r="F57">
        <v>105.19837</v>
      </c>
    </row>
    <row r="58" spans="1:6" x14ac:dyDescent="0.4">
      <c r="C58" t="s">
        <v>27</v>
      </c>
      <c r="D58">
        <v>2040</v>
      </c>
      <c r="E58">
        <v>0.19678000000000001</v>
      </c>
      <c r="F58">
        <v>105.1994</v>
      </c>
    </row>
    <row r="59" spans="1:6" x14ac:dyDescent="0.4">
      <c r="C59" t="s">
        <v>27</v>
      </c>
      <c r="D59">
        <v>2045</v>
      </c>
      <c r="E59">
        <v>0.19519</v>
      </c>
      <c r="F59">
        <v>105.20048</v>
      </c>
    </row>
    <row r="62" spans="1:6" x14ac:dyDescent="0.4">
      <c r="A62" s="45" t="s">
        <v>406</v>
      </c>
    </row>
    <row r="64" spans="1:6" x14ac:dyDescent="0.4">
      <c r="D64" t="s">
        <v>25</v>
      </c>
    </row>
    <row r="65" spans="2:26" x14ac:dyDescent="0.4">
      <c r="B65" t="s">
        <v>289</v>
      </c>
      <c r="C65" t="s">
        <v>27</v>
      </c>
      <c r="D65">
        <v>3469</v>
      </c>
    </row>
    <row r="66" spans="2:26" x14ac:dyDescent="0.4">
      <c r="B66" t="s">
        <v>257</v>
      </c>
      <c r="C66" t="s">
        <v>27</v>
      </c>
      <c r="D66">
        <v>2399</v>
      </c>
    </row>
    <row r="68" spans="2:26" x14ac:dyDescent="0.4">
      <c r="D68" t="s">
        <v>4</v>
      </c>
      <c r="E68" t="s">
        <v>5</v>
      </c>
      <c r="F68" t="s">
        <v>6</v>
      </c>
      <c r="G68" t="s">
        <v>7</v>
      </c>
      <c r="H68" t="s">
        <v>8</v>
      </c>
      <c r="I68" t="s">
        <v>9</v>
      </c>
      <c r="J68" t="s">
        <v>10</v>
      </c>
      <c r="K68" t="s">
        <v>11</v>
      </c>
      <c r="L68" t="s">
        <v>12</v>
      </c>
      <c r="M68" t="s">
        <v>13</v>
      </c>
      <c r="N68" t="s">
        <v>14</v>
      </c>
      <c r="O68" t="s">
        <v>15</v>
      </c>
      <c r="P68" t="s">
        <v>16</v>
      </c>
      <c r="Q68" t="s">
        <v>17</v>
      </c>
      <c r="R68" t="s">
        <v>18</v>
      </c>
      <c r="S68" t="s">
        <v>19</v>
      </c>
      <c r="T68" t="s">
        <v>20</v>
      </c>
      <c r="U68" t="s">
        <v>21</v>
      </c>
      <c r="V68" t="s">
        <v>22</v>
      </c>
      <c r="W68" t="s">
        <v>23</v>
      </c>
      <c r="X68" t="s">
        <v>24</v>
      </c>
      <c r="Y68" t="s">
        <v>25</v>
      </c>
      <c r="Z68" t="s">
        <v>259</v>
      </c>
    </row>
    <row r="69" spans="2:26" x14ac:dyDescent="0.4">
      <c r="B69" t="s">
        <v>289</v>
      </c>
      <c r="C69" t="s">
        <v>27</v>
      </c>
      <c r="D69">
        <v>15779</v>
      </c>
      <c r="E69">
        <v>16782</v>
      </c>
      <c r="F69">
        <v>17687</v>
      </c>
      <c r="G69">
        <v>20145</v>
      </c>
      <c r="H69">
        <v>19957</v>
      </c>
      <c r="I69">
        <v>19728</v>
      </c>
      <c r="J69">
        <v>22607</v>
      </c>
      <c r="K69">
        <v>27047</v>
      </c>
      <c r="L69">
        <v>30219</v>
      </c>
      <c r="M69">
        <v>26602</v>
      </c>
      <c r="N69">
        <v>24540</v>
      </c>
      <c r="O69">
        <v>24455</v>
      </c>
      <c r="P69">
        <v>28243</v>
      </c>
      <c r="Q69">
        <v>30304</v>
      </c>
      <c r="R69">
        <v>21683</v>
      </c>
      <c r="S69">
        <v>17529</v>
      </c>
      <c r="T69">
        <v>12684</v>
      </c>
      <c r="U69">
        <v>7212</v>
      </c>
      <c r="V69">
        <v>2247</v>
      </c>
      <c r="W69">
        <v>529</v>
      </c>
      <c r="X69">
        <v>64</v>
      </c>
      <c r="Y69">
        <v>3469</v>
      </c>
      <c r="Z69">
        <f>SUM(D69:X69)</f>
        <v>386043</v>
      </c>
    </row>
    <row r="70" spans="2:26" x14ac:dyDescent="0.4">
      <c r="B70" t="s">
        <v>257</v>
      </c>
      <c r="C70" t="s">
        <v>27</v>
      </c>
      <c r="D70">
        <v>15099</v>
      </c>
      <c r="E70">
        <v>16185</v>
      </c>
      <c r="F70">
        <v>16835</v>
      </c>
      <c r="G70">
        <v>19500</v>
      </c>
      <c r="H70">
        <v>19939</v>
      </c>
      <c r="I70">
        <v>19979</v>
      </c>
      <c r="J70">
        <v>22710</v>
      </c>
      <c r="K70">
        <v>26657</v>
      </c>
      <c r="L70">
        <v>30282</v>
      </c>
      <c r="M70">
        <v>26548</v>
      </c>
      <c r="N70">
        <v>25160</v>
      </c>
      <c r="O70">
        <v>25012</v>
      </c>
      <c r="P70">
        <v>29485</v>
      </c>
      <c r="Q70">
        <v>32525</v>
      </c>
      <c r="R70">
        <v>24904</v>
      </c>
      <c r="S70">
        <v>22518</v>
      </c>
      <c r="T70">
        <v>20052</v>
      </c>
      <c r="U70">
        <v>14767</v>
      </c>
      <c r="V70">
        <v>7403</v>
      </c>
      <c r="W70">
        <v>2286</v>
      </c>
      <c r="X70">
        <v>400</v>
      </c>
      <c r="Y70">
        <v>2399</v>
      </c>
      <c r="Z70">
        <f>SUM(D70:X70)</f>
        <v>418246</v>
      </c>
    </row>
    <row r="72" spans="2:26" x14ac:dyDescent="0.4">
      <c r="C72" t="s">
        <v>407</v>
      </c>
    </row>
    <row r="74" spans="2:26" x14ac:dyDescent="0.4">
      <c r="C74" t="s">
        <v>408</v>
      </c>
    </row>
    <row r="75" spans="2:26" x14ac:dyDescent="0.4">
      <c r="D75" t="s">
        <v>409</v>
      </c>
    </row>
    <row r="76" spans="2:26" x14ac:dyDescent="0.4">
      <c r="E76" t="s">
        <v>411</v>
      </c>
    </row>
    <row r="77" spans="2:26" x14ac:dyDescent="0.4">
      <c r="E77" s="47" t="s">
        <v>410</v>
      </c>
    </row>
    <row r="80" spans="2:26" x14ac:dyDescent="0.4">
      <c r="F80" t="s">
        <v>4</v>
      </c>
      <c r="G80" t="s">
        <v>5</v>
      </c>
      <c r="H80" t="s">
        <v>6</v>
      </c>
      <c r="I80" t="s">
        <v>7</v>
      </c>
      <c r="J80" t="s">
        <v>8</v>
      </c>
      <c r="K80" t="s">
        <v>9</v>
      </c>
      <c r="L80" t="s">
        <v>10</v>
      </c>
      <c r="M80" t="s">
        <v>11</v>
      </c>
      <c r="N80" t="s">
        <v>12</v>
      </c>
      <c r="O80" t="s">
        <v>13</v>
      </c>
      <c r="P80" t="s">
        <v>14</v>
      </c>
      <c r="Q80" t="s">
        <v>15</v>
      </c>
      <c r="R80" t="s">
        <v>16</v>
      </c>
      <c r="S80" t="s">
        <v>17</v>
      </c>
      <c r="T80" t="s">
        <v>18</v>
      </c>
      <c r="U80" t="s">
        <v>19</v>
      </c>
      <c r="V80" t="s">
        <v>20</v>
      </c>
      <c r="W80" t="s">
        <v>21</v>
      </c>
      <c r="X80" t="s">
        <v>22</v>
      </c>
      <c r="Y80" t="s">
        <v>23</v>
      </c>
      <c r="Z80" t="s">
        <v>24</v>
      </c>
    </row>
    <row r="81" spans="1:26" x14ac:dyDescent="0.4">
      <c r="C81" t="s">
        <v>202</v>
      </c>
      <c r="D81" t="s">
        <v>27</v>
      </c>
      <c r="E81" t="s">
        <v>204</v>
      </c>
      <c r="F81">
        <v>15921</v>
      </c>
      <c r="G81">
        <v>16933</v>
      </c>
      <c r="H81">
        <v>17846</v>
      </c>
      <c r="I81">
        <v>20326</v>
      </c>
      <c r="J81">
        <v>20136</v>
      </c>
      <c r="K81">
        <v>19905</v>
      </c>
      <c r="L81">
        <v>22810</v>
      </c>
      <c r="M81">
        <v>27290</v>
      </c>
      <c r="N81">
        <v>30491</v>
      </c>
      <c r="O81">
        <v>26841</v>
      </c>
      <c r="P81">
        <v>24761</v>
      </c>
      <c r="Q81">
        <v>24675</v>
      </c>
      <c r="R81">
        <v>28497</v>
      </c>
      <c r="S81">
        <v>30576</v>
      </c>
      <c r="T81">
        <v>21878</v>
      </c>
      <c r="U81">
        <v>17687</v>
      </c>
      <c r="V81">
        <v>12798</v>
      </c>
      <c r="W81">
        <v>7277</v>
      </c>
      <c r="X81">
        <v>2267</v>
      </c>
      <c r="Y81">
        <v>534</v>
      </c>
      <c r="Z81">
        <v>65</v>
      </c>
    </row>
    <row r="82" spans="1:26" x14ac:dyDescent="0.4">
      <c r="C82" t="s">
        <v>203</v>
      </c>
      <c r="D82" t="s">
        <v>27</v>
      </c>
      <c r="E82" t="s">
        <v>204</v>
      </c>
      <c r="F82">
        <v>15186</v>
      </c>
      <c r="G82">
        <v>16278</v>
      </c>
      <c r="H82">
        <v>16932</v>
      </c>
      <c r="I82">
        <v>19612</v>
      </c>
      <c r="J82">
        <v>20053</v>
      </c>
      <c r="K82">
        <v>20094</v>
      </c>
      <c r="L82">
        <v>22840</v>
      </c>
      <c r="M82">
        <v>26810</v>
      </c>
      <c r="N82">
        <v>30456</v>
      </c>
      <c r="O82">
        <v>26700</v>
      </c>
      <c r="P82">
        <v>25304</v>
      </c>
      <c r="Q82">
        <v>25155</v>
      </c>
      <c r="R82">
        <v>29654</v>
      </c>
      <c r="S82">
        <v>32712</v>
      </c>
      <c r="T82">
        <v>25047</v>
      </c>
      <c r="U82">
        <v>22647</v>
      </c>
      <c r="V82">
        <v>20167</v>
      </c>
      <c r="W82">
        <v>14852</v>
      </c>
      <c r="X82">
        <v>7445</v>
      </c>
      <c r="Y82">
        <v>2299</v>
      </c>
      <c r="Z82">
        <v>402</v>
      </c>
    </row>
    <row r="85" spans="1:26" x14ac:dyDescent="0.4">
      <c r="A85" s="45" t="s">
        <v>413</v>
      </c>
    </row>
    <row r="99" spans="3:26" x14ac:dyDescent="0.4">
      <c r="C99" t="s">
        <v>414</v>
      </c>
    </row>
    <row r="100" spans="3:26" x14ac:dyDescent="0.4">
      <c r="D100" t="s">
        <v>415</v>
      </c>
    </row>
    <row r="101" spans="3:26" x14ac:dyDescent="0.4">
      <c r="E101" t="s">
        <v>411</v>
      </c>
    </row>
    <row r="102" spans="3:26" x14ac:dyDescent="0.4">
      <c r="E102" s="47" t="s">
        <v>416</v>
      </c>
    </row>
    <row r="104" spans="3:26" x14ac:dyDescent="0.4">
      <c r="F104" t="s">
        <v>4</v>
      </c>
      <c r="G104" t="s">
        <v>5</v>
      </c>
      <c r="H104" t="s">
        <v>6</v>
      </c>
      <c r="I104" t="s">
        <v>7</v>
      </c>
      <c r="J104" t="s">
        <v>8</v>
      </c>
      <c r="K104" t="s">
        <v>9</v>
      </c>
      <c r="L104" t="s">
        <v>10</v>
      </c>
      <c r="M104" t="s">
        <v>11</v>
      </c>
      <c r="N104" t="s">
        <v>12</v>
      </c>
      <c r="O104" t="s">
        <v>13</v>
      </c>
      <c r="P104" t="s">
        <v>14</v>
      </c>
      <c r="Q104" t="s">
        <v>15</v>
      </c>
      <c r="R104" t="s">
        <v>16</v>
      </c>
      <c r="S104" t="s">
        <v>17</v>
      </c>
      <c r="T104" t="s">
        <v>18</v>
      </c>
      <c r="U104" t="s">
        <v>19</v>
      </c>
      <c r="V104" t="s">
        <v>20</v>
      </c>
      <c r="W104" t="s">
        <v>21</v>
      </c>
      <c r="X104" t="s">
        <v>22</v>
      </c>
      <c r="Y104" t="s">
        <v>23</v>
      </c>
      <c r="Z104" t="s">
        <v>24</v>
      </c>
    </row>
    <row r="105" spans="3:26" x14ac:dyDescent="0.4">
      <c r="C105" t="s">
        <v>202</v>
      </c>
      <c r="D105" t="s">
        <v>27</v>
      </c>
      <c r="E105" t="s">
        <v>204</v>
      </c>
      <c r="F105">
        <v>15921</v>
      </c>
      <c r="G105">
        <v>16933</v>
      </c>
      <c r="H105">
        <v>17846</v>
      </c>
      <c r="I105">
        <v>20326</v>
      </c>
      <c r="J105">
        <v>20136</v>
      </c>
      <c r="K105">
        <v>19905</v>
      </c>
      <c r="L105">
        <v>22810</v>
      </c>
      <c r="M105">
        <v>27290</v>
      </c>
      <c r="N105">
        <v>30491</v>
      </c>
      <c r="O105">
        <v>26841</v>
      </c>
      <c r="P105">
        <v>24761</v>
      </c>
      <c r="Q105">
        <v>24675</v>
      </c>
      <c r="R105">
        <v>28497</v>
      </c>
      <c r="S105">
        <v>30576</v>
      </c>
      <c r="T105">
        <v>21878</v>
      </c>
      <c r="U105">
        <v>17687</v>
      </c>
      <c r="V105">
        <v>12798</v>
      </c>
      <c r="W105">
        <v>7277</v>
      </c>
      <c r="X105">
        <v>2267</v>
      </c>
      <c r="Y105">
        <v>534</v>
      </c>
      <c r="Z105">
        <v>65</v>
      </c>
    </row>
    <row r="106" spans="3:26" x14ac:dyDescent="0.4">
      <c r="E106" t="s">
        <v>205</v>
      </c>
      <c r="G106">
        <v>16167</v>
      </c>
      <c r="H106">
        <v>17107</v>
      </c>
      <c r="I106">
        <v>18507</v>
      </c>
      <c r="J106">
        <v>20306</v>
      </c>
      <c r="K106">
        <v>18919</v>
      </c>
      <c r="L106">
        <v>20333</v>
      </c>
      <c r="M106">
        <v>23479</v>
      </c>
      <c r="N106">
        <v>27473</v>
      </c>
      <c r="O106">
        <v>30528</v>
      </c>
      <c r="P106">
        <v>26520</v>
      </c>
      <c r="Q106">
        <v>24487</v>
      </c>
      <c r="R106">
        <v>24440</v>
      </c>
      <c r="S106">
        <v>27255</v>
      </c>
      <c r="T106">
        <v>28401</v>
      </c>
      <c r="U106">
        <v>19404</v>
      </c>
      <c r="V106">
        <v>14180</v>
      </c>
      <c r="W106">
        <v>8606</v>
      </c>
      <c r="X106">
        <v>3338</v>
      </c>
      <c r="Y106">
        <v>1040</v>
      </c>
      <c r="Z106">
        <v>245</v>
      </c>
    </row>
    <row r="107" spans="3:26" x14ac:dyDescent="0.4">
      <c r="E107" t="s">
        <v>206</v>
      </c>
      <c r="G107">
        <v>12373</v>
      </c>
      <c r="H107">
        <v>16329</v>
      </c>
      <c r="I107">
        <v>17662</v>
      </c>
      <c r="J107">
        <v>18385</v>
      </c>
      <c r="K107">
        <v>19062</v>
      </c>
      <c r="L107">
        <v>19315</v>
      </c>
      <c r="M107">
        <v>20975</v>
      </c>
      <c r="N107">
        <v>23710</v>
      </c>
      <c r="O107">
        <v>27491</v>
      </c>
      <c r="P107">
        <v>30161</v>
      </c>
      <c r="Q107">
        <v>26235</v>
      </c>
      <c r="R107">
        <v>24306</v>
      </c>
      <c r="S107">
        <v>23454</v>
      </c>
      <c r="T107">
        <v>25372</v>
      </c>
      <c r="U107">
        <v>25428</v>
      </c>
      <c r="V107">
        <v>15735</v>
      </c>
      <c r="W107">
        <v>9727</v>
      </c>
      <c r="X107">
        <v>3993</v>
      </c>
      <c r="Y107">
        <v>1549</v>
      </c>
      <c r="Z107">
        <v>482</v>
      </c>
    </row>
    <row r="108" spans="3:26" x14ac:dyDescent="0.4">
      <c r="E108" t="s">
        <v>207</v>
      </c>
      <c r="G108">
        <v>11398</v>
      </c>
      <c r="H108">
        <v>12494</v>
      </c>
      <c r="I108">
        <v>16813</v>
      </c>
      <c r="J108">
        <v>17407</v>
      </c>
      <c r="K108">
        <v>17229</v>
      </c>
      <c r="L108">
        <v>19409</v>
      </c>
      <c r="M108">
        <v>19917</v>
      </c>
      <c r="N108">
        <v>21177</v>
      </c>
      <c r="O108">
        <v>23775</v>
      </c>
      <c r="P108">
        <v>27130</v>
      </c>
      <c r="Q108">
        <v>29836</v>
      </c>
      <c r="R108">
        <v>26076</v>
      </c>
      <c r="S108">
        <v>23394</v>
      </c>
      <c r="T108">
        <v>21921</v>
      </c>
      <c r="U108">
        <v>22773</v>
      </c>
      <c r="V108">
        <v>20982</v>
      </c>
      <c r="W108">
        <v>10975</v>
      </c>
      <c r="X108">
        <v>4538</v>
      </c>
      <c r="Y108">
        <v>1863</v>
      </c>
      <c r="Z108">
        <v>723</v>
      </c>
    </row>
    <row r="109" spans="3:26" x14ac:dyDescent="0.4">
      <c r="E109" t="s">
        <v>208</v>
      </c>
      <c r="G109">
        <v>11052</v>
      </c>
      <c r="H109">
        <v>11509</v>
      </c>
      <c r="I109">
        <v>12838</v>
      </c>
      <c r="J109">
        <v>16507</v>
      </c>
      <c r="K109">
        <v>16290</v>
      </c>
      <c r="L109">
        <v>17506</v>
      </c>
      <c r="M109">
        <v>19932</v>
      </c>
      <c r="N109">
        <v>20086</v>
      </c>
      <c r="O109">
        <v>21234</v>
      </c>
      <c r="P109">
        <v>23504</v>
      </c>
      <c r="Q109">
        <v>26884</v>
      </c>
      <c r="R109">
        <v>29659</v>
      </c>
      <c r="S109">
        <v>25144</v>
      </c>
      <c r="T109">
        <v>21936</v>
      </c>
      <c r="U109">
        <v>19790</v>
      </c>
      <c r="V109">
        <v>18867</v>
      </c>
      <c r="W109">
        <v>15063</v>
      </c>
      <c r="X109">
        <v>5198</v>
      </c>
      <c r="Y109">
        <v>2149</v>
      </c>
      <c r="Z109">
        <v>882</v>
      </c>
    </row>
    <row r="110" spans="3:26" x14ac:dyDescent="0.4">
      <c r="E110" t="s">
        <v>209</v>
      </c>
      <c r="G110">
        <v>10402</v>
      </c>
      <c r="H110">
        <v>11160</v>
      </c>
      <c r="I110">
        <v>11805</v>
      </c>
      <c r="J110">
        <v>12570</v>
      </c>
      <c r="K110">
        <v>15446</v>
      </c>
      <c r="L110">
        <v>16521</v>
      </c>
      <c r="M110">
        <v>17946</v>
      </c>
      <c r="N110">
        <v>20095</v>
      </c>
      <c r="O110">
        <v>20123</v>
      </c>
      <c r="P110">
        <v>21000</v>
      </c>
      <c r="Q110">
        <v>23330</v>
      </c>
      <c r="R110">
        <v>26781</v>
      </c>
      <c r="S110">
        <v>28622</v>
      </c>
      <c r="T110">
        <v>23639</v>
      </c>
      <c r="U110">
        <v>19895</v>
      </c>
      <c r="V110">
        <v>16579</v>
      </c>
      <c r="W110">
        <v>13628</v>
      </c>
      <c r="X110">
        <v>7445</v>
      </c>
      <c r="Y110">
        <v>2569</v>
      </c>
      <c r="Z110">
        <v>1062</v>
      </c>
    </row>
    <row r="111" spans="3:26" x14ac:dyDescent="0.4">
      <c r="E111" t="s">
        <v>258</v>
      </c>
      <c r="G111">
        <v>9544</v>
      </c>
      <c r="H111">
        <v>10502</v>
      </c>
      <c r="I111">
        <v>11425</v>
      </c>
      <c r="J111">
        <v>11521</v>
      </c>
      <c r="K111">
        <v>11762</v>
      </c>
      <c r="L111">
        <v>15660</v>
      </c>
      <c r="M111">
        <v>16914</v>
      </c>
      <c r="N111">
        <v>18119</v>
      </c>
      <c r="O111">
        <v>20126</v>
      </c>
      <c r="P111">
        <v>19900</v>
      </c>
      <c r="Q111">
        <v>20858</v>
      </c>
      <c r="R111">
        <v>23273</v>
      </c>
      <c r="S111">
        <v>25867</v>
      </c>
      <c r="T111">
        <v>26941</v>
      </c>
      <c r="U111">
        <v>21521</v>
      </c>
      <c r="V111">
        <v>16819</v>
      </c>
      <c r="W111">
        <v>12203</v>
      </c>
      <c r="X111">
        <v>6518</v>
      </c>
      <c r="Y111">
        <v>3561</v>
      </c>
      <c r="Z111">
        <v>1229</v>
      </c>
    </row>
    <row r="112" spans="3:26" x14ac:dyDescent="0.4">
      <c r="C112" t="s">
        <v>203</v>
      </c>
      <c r="D112" t="s">
        <v>27</v>
      </c>
      <c r="E112" t="s">
        <v>204</v>
      </c>
      <c r="F112">
        <v>15186</v>
      </c>
      <c r="G112">
        <v>16278</v>
      </c>
      <c r="H112">
        <v>16932</v>
      </c>
      <c r="I112">
        <v>19612</v>
      </c>
      <c r="J112">
        <v>20053</v>
      </c>
      <c r="K112">
        <v>20094</v>
      </c>
      <c r="L112">
        <v>22840</v>
      </c>
      <c r="M112">
        <v>26810</v>
      </c>
      <c r="N112">
        <v>30456</v>
      </c>
      <c r="O112">
        <v>26700</v>
      </c>
      <c r="P112">
        <v>25304</v>
      </c>
      <c r="Q112">
        <v>25155</v>
      </c>
      <c r="R112">
        <v>29654</v>
      </c>
      <c r="S112">
        <v>32712</v>
      </c>
      <c r="T112">
        <v>25047</v>
      </c>
      <c r="U112">
        <v>22647</v>
      </c>
      <c r="V112">
        <v>20167</v>
      </c>
      <c r="W112">
        <v>14852</v>
      </c>
      <c r="X112">
        <v>7445</v>
      </c>
      <c r="Y112">
        <v>2299</v>
      </c>
      <c r="Z112">
        <v>402</v>
      </c>
    </row>
    <row r="113" spans="1:26" x14ac:dyDescent="0.4">
      <c r="E113" t="s">
        <v>205</v>
      </c>
      <c r="G113">
        <v>15482</v>
      </c>
      <c r="H113">
        <v>16464</v>
      </c>
      <c r="I113">
        <v>18086</v>
      </c>
      <c r="J113">
        <v>19761</v>
      </c>
      <c r="K113">
        <v>19014</v>
      </c>
      <c r="L113">
        <v>20293</v>
      </c>
      <c r="M113">
        <v>23156</v>
      </c>
      <c r="N113">
        <v>27002</v>
      </c>
      <c r="O113">
        <v>30394</v>
      </c>
      <c r="P113">
        <v>26526</v>
      </c>
      <c r="Q113">
        <v>25166</v>
      </c>
      <c r="R113">
        <v>24998</v>
      </c>
      <c r="S113">
        <v>29214</v>
      </c>
      <c r="T113">
        <v>31815</v>
      </c>
      <c r="U113">
        <v>23873</v>
      </c>
      <c r="V113">
        <v>20751</v>
      </c>
      <c r="W113">
        <v>16738</v>
      </c>
      <c r="X113">
        <v>8449</v>
      </c>
      <c r="Y113">
        <v>4235</v>
      </c>
      <c r="Z113">
        <v>1308</v>
      </c>
    </row>
    <row r="114" spans="1:26" x14ac:dyDescent="0.4">
      <c r="E114" t="s">
        <v>206</v>
      </c>
      <c r="G114">
        <v>11814</v>
      </c>
      <c r="H114">
        <v>15663</v>
      </c>
      <c r="I114">
        <v>17453</v>
      </c>
      <c r="J114">
        <v>18151</v>
      </c>
      <c r="K114">
        <v>18773</v>
      </c>
      <c r="L114">
        <v>19160</v>
      </c>
      <c r="M114">
        <v>20617</v>
      </c>
      <c r="N114">
        <v>23385</v>
      </c>
      <c r="O114">
        <v>26965</v>
      </c>
      <c r="P114">
        <v>30199</v>
      </c>
      <c r="Q114">
        <v>26390</v>
      </c>
      <c r="R114">
        <v>25028</v>
      </c>
      <c r="S114">
        <v>24671</v>
      </c>
      <c r="T114">
        <v>28447</v>
      </c>
      <c r="U114">
        <v>30466</v>
      </c>
      <c r="V114">
        <v>22004</v>
      </c>
      <c r="W114">
        <v>17451</v>
      </c>
      <c r="X114">
        <v>9607</v>
      </c>
      <c r="Y114">
        <v>4850</v>
      </c>
      <c r="Z114">
        <v>2431</v>
      </c>
    </row>
    <row r="115" spans="1:26" x14ac:dyDescent="0.4">
      <c r="E115" t="s">
        <v>207</v>
      </c>
      <c r="G115">
        <v>10884</v>
      </c>
      <c r="H115">
        <v>11950</v>
      </c>
      <c r="I115">
        <v>16552</v>
      </c>
      <c r="J115">
        <v>17356</v>
      </c>
      <c r="K115">
        <v>17225</v>
      </c>
      <c r="L115">
        <v>18947</v>
      </c>
      <c r="M115">
        <v>19433</v>
      </c>
      <c r="N115">
        <v>20811</v>
      </c>
      <c r="O115">
        <v>23380</v>
      </c>
      <c r="P115">
        <v>26798</v>
      </c>
      <c r="Q115">
        <v>30052</v>
      </c>
      <c r="R115">
        <v>26260</v>
      </c>
      <c r="S115">
        <v>24724</v>
      </c>
      <c r="T115">
        <v>24069</v>
      </c>
      <c r="U115">
        <v>27277</v>
      </c>
      <c r="V115">
        <v>28346</v>
      </c>
      <c r="W115">
        <v>18695</v>
      </c>
      <c r="X115">
        <v>10033</v>
      </c>
      <c r="Y115">
        <v>5523</v>
      </c>
      <c r="Z115">
        <v>2788</v>
      </c>
    </row>
    <row r="116" spans="1:26" x14ac:dyDescent="0.4">
      <c r="E116" t="s">
        <v>208</v>
      </c>
      <c r="G116">
        <v>10552</v>
      </c>
      <c r="H116">
        <v>11009</v>
      </c>
      <c r="I116">
        <v>12605</v>
      </c>
      <c r="J116">
        <v>16404</v>
      </c>
      <c r="K116">
        <v>16427</v>
      </c>
      <c r="L116">
        <v>17364</v>
      </c>
      <c r="M116">
        <v>19193</v>
      </c>
      <c r="N116">
        <v>19589</v>
      </c>
      <c r="O116">
        <v>20801</v>
      </c>
      <c r="P116">
        <v>23253</v>
      </c>
      <c r="Q116">
        <v>26691</v>
      </c>
      <c r="R116">
        <v>29913</v>
      </c>
      <c r="S116">
        <v>25956</v>
      </c>
      <c r="T116">
        <v>24149</v>
      </c>
      <c r="U116">
        <v>23149</v>
      </c>
      <c r="V116">
        <v>25428</v>
      </c>
      <c r="W116">
        <v>24501</v>
      </c>
      <c r="X116">
        <v>10907</v>
      </c>
      <c r="Y116">
        <v>5853</v>
      </c>
      <c r="Z116">
        <v>3222</v>
      </c>
    </row>
    <row r="117" spans="1:26" x14ac:dyDescent="0.4">
      <c r="E117" t="s">
        <v>209</v>
      </c>
      <c r="G117">
        <v>9931</v>
      </c>
      <c r="H117">
        <v>10673</v>
      </c>
      <c r="I117">
        <v>11587</v>
      </c>
      <c r="J117">
        <v>12464</v>
      </c>
      <c r="K117">
        <v>15522</v>
      </c>
      <c r="L117">
        <v>16520</v>
      </c>
      <c r="M117">
        <v>17572</v>
      </c>
      <c r="N117">
        <v>19361</v>
      </c>
      <c r="O117">
        <v>19565</v>
      </c>
      <c r="P117">
        <v>20688</v>
      </c>
      <c r="Q117">
        <v>23171</v>
      </c>
      <c r="R117">
        <v>26591</v>
      </c>
      <c r="S117">
        <v>29577</v>
      </c>
      <c r="T117">
        <v>25379</v>
      </c>
      <c r="U117">
        <v>23273</v>
      </c>
      <c r="V117">
        <v>21711</v>
      </c>
      <c r="W117">
        <v>22057</v>
      </c>
      <c r="X117">
        <v>14778</v>
      </c>
      <c r="Y117">
        <v>6578</v>
      </c>
      <c r="Z117">
        <v>3530</v>
      </c>
    </row>
    <row r="118" spans="1:26" x14ac:dyDescent="0.4">
      <c r="E118" t="s">
        <v>258</v>
      </c>
      <c r="G118">
        <v>9112</v>
      </c>
      <c r="H118">
        <v>10043</v>
      </c>
      <c r="I118">
        <v>11207</v>
      </c>
      <c r="J118">
        <v>11419</v>
      </c>
      <c r="K118">
        <v>11795</v>
      </c>
      <c r="L118">
        <v>15613</v>
      </c>
      <c r="M118">
        <v>16692</v>
      </c>
      <c r="N118">
        <v>17738</v>
      </c>
      <c r="O118">
        <v>19346</v>
      </c>
      <c r="P118">
        <v>19456</v>
      </c>
      <c r="Q118">
        <v>20626</v>
      </c>
      <c r="R118">
        <v>23097</v>
      </c>
      <c r="S118">
        <v>26308</v>
      </c>
      <c r="T118">
        <v>28928</v>
      </c>
      <c r="U118">
        <v>24501</v>
      </c>
      <c r="V118">
        <v>21920</v>
      </c>
      <c r="W118">
        <v>19047</v>
      </c>
      <c r="X118">
        <v>12946</v>
      </c>
      <c r="Y118">
        <v>8674</v>
      </c>
      <c r="Z118">
        <v>3861</v>
      </c>
    </row>
    <row r="121" spans="1:26" x14ac:dyDescent="0.4">
      <c r="A121" s="45" t="s">
        <v>412</v>
      </c>
    </row>
    <row r="129" spans="3:14" x14ac:dyDescent="0.4">
      <c r="C129" t="s">
        <v>417</v>
      </c>
      <c r="L129" t="s">
        <v>421</v>
      </c>
    </row>
    <row r="130" spans="3:14" x14ac:dyDescent="0.4">
      <c r="D130" t="s">
        <v>418</v>
      </c>
      <c r="M130" t="s">
        <v>418</v>
      </c>
    </row>
    <row r="132" spans="3:14" x14ac:dyDescent="0.4">
      <c r="D132" t="s">
        <v>420</v>
      </c>
      <c r="M132" t="s">
        <v>423</v>
      </c>
    </row>
    <row r="133" spans="3:14" x14ac:dyDescent="0.4">
      <c r="E133" t="s">
        <v>411</v>
      </c>
      <c r="N133" t="s">
        <v>411</v>
      </c>
    </row>
    <row r="134" spans="3:14" x14ac:dyDescent="0.4">
      <c r="E134" s="47" t="s">
        <v>419</v>
      </c>
      <c r="N134" s="47" t="s">
        <v>422</v>
      </c>
    </row>
    <row r="136" spans="3:14" x14ac:dyDescent="0.4">
      <c r="F136" t="s">
        <v>4</v>
      </c>
    </row>
    <row r="137" spans="3:14" x14ac:dyDescent="0.4">
      <c r="C137" t="s">
        <v>256</v>
      </c>
      <c r="D137" t="s">
        <v>27</v>
      </c>
      <c r="E137" t="s">
        <v>205</v>
      </c>
      <c r="F137">
        <v>15090</v>
      </c>
    </row>
    <row r="138" spans="3:14" x14ac:dyDescent="0.4">
      <c r="E138" t="s">
        <v>206</v>
      </c>
      <c r="F138">
        <v>13793</v>
      </c>
    </row>
    <row r="139" spans="3:14" x14ac:dyDescent="0.4">
      <c r="E139" t="s">
        <v>207</v>
      </c>
      <c r="F139">
        <v>13177</v>
      </c>
    </row>
    <row r="140" spans="3:14" x14ac:dyDescent="0.4">
      <c r="E140" t="s">
        <v>208</v>
      </c>
      <c r="F140">
        <v>12630</v>
      </c>
    </row>
    <row r="141" spans="3:14" x14ac:dyDescent="0.4">
      <c r="E141" t="s">
        <v>209</v>
      </c>
      <c r="F141">
        <v>11927</v>
      </c>
    </row>
    <row r="142" spans="3:14" x14ac:dyDescent="0.4">
      <c r="E142" t="s">
        <v>258</v>
      </c>
      <c r="F142">
        <v>11170</v>
      </c>
    </row>
    <row r="143" spans="3:14" x14ac:dyDescent="0.4">
      <c r="C143" t="s">
        <v>257</v>
      </c>
      <c r="D143" t="s">
        <v>27</v>
      </c>
      <c r="E143" t="s">
        <v>205</v>
      </c>
      <c r="F143">
        <v>14344</v>
      </c>
    </row>
    <row r="144" spans="3:14" x14ac:dyDescent="0.4">
      <c r="E144" t="s">
        <v>206</v>
      </c>
      <c r="F144">
        <v>13112</v>
      </c>
    </row>
    <row r="145" spans="1:10" x14ac:dyDescent="0.4">
      <c r="E145" t="s">
        <v>207</v>
      </c>
      <c r="F145">
        <v>12526</v>
      </c>
    </row>
    <row r="146" spans="1:10" x14ac:dyDescent="0.4">
      <c r="E146" t="s">
        <v>208</v>
      </c>
      <c r="F146">
        <v>12006</v>
      </c>
    </row>
    <row r="147" spans="1:10" x14ac:dyDescent="0.4">
      <c r="E147" t="s">
        <v>209</v>
      </c>
      <c r="F147">
        <v>11338</v>
      </c>
    </row>
    <row r="148" spans="1:10" x14ac:dyDescent="0.4">
      <c r="E148" t="s">
        <v>258</v>
      </c>
      <c r="F148">
        <v>10618</v>
      </c>
    </row>
    <row r="151" spans="1:10" x14ac:dyDescent="0.4">
      <c r="A151" s="45" t="s">
        <v>424</v>
      </c>
    </row>
    <row r="153" spans="1:10" x14ac:dyDescent="0.4">
      <c r="C153" s="46" t="s">
        <v>228</v>
      </c>
      <c r="D153" s="48" t="s">
        <v>425</v>
      </c>
    </row>
    <row r="154" spans="1:10" x14ac:dyDescent="0.4">
      <c r="C154" s="46" t="s">
        <v>229</v>
      </c>
      <c r="D154" s="48" t="s">
        <v>426</v>
      </c>
    </row>
    <row r="155" spans="1:10" x14ac:dyDescent="0.4">
      <c r="C155" s="46" t="s">
        <v>230</v>
      </c>
      <c r="D155" s="48" t="s">
        <v>427</v>
      </c>
    </row>
    <row r="157" spans="1:10" x14ac:dyDescent="0.4">
      <c r="C157" t="s">
        <v>434</v>
      </c>
      <c r="D157" t="s">
        <v>428</v>
      </c>
      <c r="E157" t="s">
        <v>290</v>
      </c>
      <c r="F157" t="s">
        <v>291</v>
      </c>
      <c r="G157" t="s">
        <v>292</v>
      </c>
      <c r="H157" t="s">
        <v>293</v>
      </c>
      <c r="I157" t="s">
        <v>284</v>
      </c>
      <c r="J157" t="s">
        <v>429</v>
      </c>
    </row>
    <row r="158" spans="1:10" x14ac:dyDescent="0.4">
      <c r="C158" s="46" t="s">
        <v>430</v>
      </c>
      <c r="D158" s="49">
        <v>99096</v>
      </c>
      <c r="E158" s="49">
        <v>94654</v>
      </c>
      <c r="F158" s="49">
        <v>88858</v>
      </c>
      <c r="G158" s="49">
        <v>83378</v>
      </c>
      <c r="H158" s="49">
        <v>78503</v>
      </c>
      <c r="I158" s="49">
        <v>74823</v>
      </c>
      <c r="J158" s="49">
        <v>70860</v>
      </c>
    </row>
    <row r="159" spans="1:10" x14ac:dyDescent="0.4">
      <c r="C159" s="46" t="s">
        <v>431</v>
      </c>
      <c r="D159" s="49">
        <v>492410</v>
      </c>
      <c r="E159" s="49">
        <v>469388</v>
      </c>
      <c r="F159" s="49">
        <v>453423</v>
      </c>
      <c r="G159" s="49">
        <v>435583</v>
      </c>
      <c r="H159" s="49">
        <v>412755</v>
      </c>
      <c r="I159" s="49">
        <v>380003</v>
      </c>
      <c r="J159" s="49">
        <v>352230</v>
      </c>
    </row>
    <row r="160" spans="1:10" x14ac:dyDescent="0.4">
      <c r="C160" s="46" t="s">
        <v>432</v>
      </c>
      <c r="D160" s="49">
        <v>218653</v>
      </c>
      <c r="E160" s="49">
        <v>238852</v>
      </c>
      <c r="F160" s="49">
        <v>245667</v>
      </c>
      <c r="G160" s="49">
        <v>248624</v>
      </c>
      <c r="H160" s="49">
        <v>252194</v>
      </c>
      <c r="I160" s="49">
        <v>260322</v>
      </c>
      <c r="J160" s="49">
        <v>260844</v>
      </c>
    </row>
    <row r="161" spans="3:10" x14ac:dyDescent="0.4">
      <c r="C161" s="46" t="s">
        <v>433</v>
      </c>
      <c r="D161" s="49">
        <v>810159</v>
      </c>
      <c r="E161" s="49">
        <v>802894</v>
      </c>
      <c r="F161" s="49">
        <v>787948</v>
      </c>
      <c r="G161" s="49">
        <v>767585</v>
      </c>
      <c r="H161" s="49">
        <v>743452</v>
      </c>
      <c r="I161" s="49">
        <v>715148</v>
      </c>
      <c r="J161" s="49">
        <v>683934</v>
      </c>
    </row>
    <row r="163" spans="3:10" x14ac:dyDescent="0.4">
      <c r="C163" t="s">
        <v>435</v>
      </c>
      <c r="D163" t="s">
        <v>428</v>
      </c>
      <c r="E163" t="s">
        <v>290</v>
      </c>
      <c r="F163" t="s">
        <v>291</v>
      </c>
      <c r="G163" t="s">
        <v>292</v>
      </c>
      <c r="H163" t="s">
        <v>293</v>
      </c>
      <c r="I163" t="s">
        <v>284</v>
      </c>
      <c r="J163" t="s">
        <v>429</v>
      </c>
    </row>
    <row r="164" spans="3:10" x14ac:dyDescent="0.4">
      <c r="C164" s="46" t="s">
        <v>430</v>
      </c>
      <c r="D164" s="49">
        <v>50700</v>
      </c>
      <c r="E164" s="49">
        <v>48364</v>
      </c>
      <c r="F164" s="49">
        <v>45449</v>
      </c>
      <c r="G164" s="49">
        <v>42668</v>
      </c>
      <c r="H164" s="49">
        <v>40174</v>
      </c>
      <c r="I164" s="49">
        <v>38291</v>
      </c>
      <c r="J164" s="49">
        <v>36263</v>
      </c>
    </row>
    <row r="165" spans="3:10" x14ac:dyDescent="0.4">
      <c r="C165" s="46" t="s">
        <v>431</v>
      </c>
      <c r="D165" s="49">
        <v>245732</v>
      </c>
      <c r="E165" s="49">
        <v>234992</v>
      </c>
      <c r="F165" s="49">
        <v>227302</v>
      </c>
      <c r="G165" s="49">
        <v>218769</v>
      </c>
      <c r="H165" s="49">
        <v>207505</v>
      </c>
      <c r="I165" s="49">
        <v>191327</v>
      </c>
      <c r="J165" s="49">
        <v>177430</v>
      </c>
    </row>
    <row r="166" spans="3:10" x14ac:dyDescent="0.4">
      <c r="C166" s="46" t="s">
        <v>432</v>
      </c>
      <c r="D166" s="49">
        <v>93082</v>
      </c>
      <c r="E166" s="49">
        <v>102469</v>
      </c>
      <c r="F166" s="49">
        <v>105740</v>
      </c>
      <c r="G166" s="49">
        <v>107169</v>
      </c>
      <c r="H166" s="49">
        <v>109029</v>
      </c>
      <c r="I166" s="49">
        <v>113439</v>
      </c>
      <c r="J166" s="49">
        <v>114659</v>
      </c>
    </row>
    <row r="167" spans="3:10" x14ac:dyDescent="0.4">
      <c r="C167" s="46" t="s">
        <v>433</v>
      </c>
      <c r="D167" s="49">
        <v>389514</v>
      </c>
      <c r="E167" s="49">
        <v>385825</v>
      </c>
      <c r="F167" s="49">
        <v>378491</v>
      </c>
      <c r="G167" s="49">
        <v>368606</v>
      </c>
      <c r="H167" s="49">
        <v>356708</v>
      </c>
      <c r="I167" s="49">
        <v>343057</v>
      </c>
      <c r="J167" s="49">
        <v>328352</v>
      </c>
    </row>
    <row r="169" spans="3:10" x14ac:dyDescent="0.4">
      <c r="C169" t="s">
        <v>436</v>
      </c>
      <c r="D169" t="s">
        <v>428</v>
      </c>
      <c r="E169" t="s">
        <v>290</v>
      </c>
      <c r="F169" t="s">
        <v>291</v>
      </c>
      <c r="G169" t="s">
        <v>292</v>
      </c>
      <c r="H169" t="s">
        <v>293</v>
      </c>
      <c r="I169" t="s">
        <v>284</v>
      </c>
      <c r="J169" t="s">
        <v>429</v>
      </c>
    </row>
    <row r="170" spans="3:10" x14ac:dyDescent="0.4">
      <c r="C170" s="46" t="s">
        <v>430</v>
      </c>
      <c r="D170" s="49">
        <v>48396</v>
      </c>
      <c r="E170" s="49">
        <v>46290</v>
      </c>
      <c r="F170" s="49">
        <v>43409</v>
      </c>
      <c r="G170" s="49">
        <v>40710</v>
      </c>
      <c r="H170" s="49">
        <v>38329</v>
      </c>
      <c r="I170" s="49">
        <v>36532</v>
      </c>
      <c r="J170" s="49">
        <v>34597</v>
      </c>
    </row>
    <row r="171" spans="3:10" x14ac:dyDescent="0.4">
      <c r="C171" s="46" t="s">
        <v>431</v>
      </c>
      <c r="D171" s="49">
        <v>246678</v>
      </c>
      <c r="E171" s="49">
        <v>234396</v>
      </c>
      <c r="F171" s="49">
        <v>226121</v>
      </c>
      <c r="G171" s="49">
        <v>216814</v>
      </c>
      <c r="H171" s="49">
        <v>205250</v>
      </c>
      <c r="I171" s="49">
        <v>188676</v>
      </c>
      <c r="J171" s="49">
        <v>174800</v>
      </c>
    </row>
    <row r="172" spans="3:10" x14ac:dyDescent="0.4">
      <c r="C172" s="46" t="s">
        <v>432</v>
      </c>
      <c r="D172" s="49">
        <v>125571</v>
      </c>
      <c r="E172" s="49">
        <v>136383</v>
      </c>
      <c r="F172" s="49">
        <v>139927</v>
      </c>
      <c r="G172" s="49">
        <v>141455</v>
      </c>
      <c r="H172" s="49">
        <v>143165</v>
      </c>
      <c r="I172" s="49">
        <v>146883</v>
      </c>
      <c r="J172" s="49">
        <v>146185</v>
      </c>
    </row>
    <row r="173" spans="3:10" x14ac:dyDescent="0.4">
      <c r="C173" s="46" t="s">
        <v>433</v>
      </c>
      <c r="D173" s="49">
        <v>420645</v>
      </c>
      <c r="E173" s="49">
        <v>417069</v>
      </c>
      <c r="F173" s="49">
        <v>409457</v>
      </c>
      <c r="G173" s="49">
        <v>398979</v>
      </c>
      <c r="H173" s="49">
        <v>386744</v>
      </c>
      <c r="I173" s="49">
        <v>372091</v>
      </c>
      <c r="J173" s="49">
        <v>355582</v>
      </c>
    </row>
  </sheetData>
  <phoneticPr fontId="2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BFC30-4103-4F31-BF12-7932322CE959}">
  <sheetPr codeName="Sheet2"/>
  <dimension ref="A1:AB85"/>
  <sheetViews>
    <sheetView workbookViewId="0">
      <pane xSplit="5" ySplit="3" topLeftCell="O49" activePane="bottomRight" state="frozen"/>
      <selection pane="topRight" activeCell="E1" sqref="E1"/>
      <selection pane="bottomLeft" activeCell="A4" sqref="A4"/>
      <selection pane="bottomRight" activeCell="Z6" sqref="Z6"/>
    </sheetView>
  </sheetViews>
  <sheetFormatPr defaultRowHeight="18.75" x14ac:dyDescent="0.4"/>
  <cols>
    <col min="3" max="3" width="10.375" customWidth="1"/>
    <col min="4" max="4" width="14.125" customWidth="1"/>
    <col min="5" max="5" width="19.5" customWidth="1"/>
    <col min="6" max="28" width="11.625" customWidth="1"/>
  </cols>
  <sheetData>
    <row r="1" spans="1:28" x14ac:dyDescent="0.4">
      <c r="A1" t="s">
        <v>200</v>
      </c>
    </row>
    <row r="3" spans="1:28" x14ac:dyDescent="0.4"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t="s">
        <v>6</v>
      </c>
      <c r="I3" t="s">
        <v>7</v>
      </c>
      <c r="J3" t="s">
        <v>8</v>
      </c>
      <c r="K3" t="s">
        <v>9</v>
      </c>
      <c r="L3" t="s">
        <v>10</v>
      </c>
      <c r="M3" t="s">
        <v>11</v>
      </c>
      <c r="N3" t="s">
        <v>12</v>
      </c>
      <c r="O3" t="s">
        <v>13</v>
      </c>
      <c r="P3" t="s">
        <v>14</v>
      </c>
      <c r="Q3" t="s">
        <v>15</v>
      </c>
      <c r="R3" t="s">
        <v>16</v>
      </c>
      <c r="S3" t="s">
        <v>17</v>
      </c>
      <c r="T3" t="s">
        <v>18</v>
      </c>
      <c r="U3" t="s">
        <v>19</v>
      </c>
      <c r="V3" t="s">
        <v>20</v>
      </c>
      <c r="W3" t="s">
        <v>21</v>
      </c>
      <c r="X3" t="s">
        <v>22</v>
      </c>
      <c r="Y3" t="s">
        <v>23</v>
      </c>
      <c r="Z3" t="s">
        <v>24</v>
      </c>
      <c r="AA3" t="s">
        <v>25</v>
      </c>
      <c r="AB3" t="s">
        <v>259</v>
      </c>
    </row>
    <row r="4" spans="1:28" x14ac:dyDescent="0.4">
      <c r="A4" t="s">
        <v>202</v>
      </c>
      <c r="B4">
        <f>_xlfn.XLOOKUP(main!$C$5,'[1]00320_15'!$G$365:$G$540,'[1]00320_15'!$B$365:$B$540)</f>
        <v>201</v>
      </c>
      <c r="C4">
        <f>_xlfn.XLOOKUP(main!$C$5,'[1]00320_15'!$G$365:$G$540,'[1]00320_15'!$C$365:$C$540)</f>
        <v>15100</v>
      </c>
      <c r="D4">
        <f>_xlfn.XLOOKUP(main!$C$5,'[1]00320_15'!$G$365:$G$540,'[1]00320_15'!$D$365:$D$540)</f>
        <v>1</v>
      </c>
      <c r="E4" s="56" t="str">
        <f>main!C5</f>
        <v>新潟市</v>
      </c>
      <c r="F4">
        <f>_xlfn.XLOOKUP(main!$C$5,'[1]00320_15'!$G$365:$G$540,'[1]00320_15'!$DI$365:$DI$540)</f>
        <v>15779</v>
      </c>
      <c r="G4">
        <f>_xlfn.XLOOKUP(main!$C$5,'[1]00320_15'!$G$365:$G$540,'[1]00320_15'!$DJ$365:$DJ$540)</f>
        <v>16782</v>
      </c>
      <c r="H4">
        <f>_xlfn.XLOOKUP(main!$C$5,'[1]00320_15'!$G$365:$G$540,'[1]00320_15'!$DK$365:$DK$540)</f>
        <v>17687</v>
      </c>
      <c r="I4">
        <f>_xlfn.XLOOKUP(main!$C$5,'[1]00320_15'!$G$365:$G$540,'[1]00320_15'!$DL$365:$DL$540)</f>
        <v>20145</v>
      </c>
      <c r="J4">
        <f>_xlfn.XLOOKUP(main!$C$5,'[1]00320_15'!$G$365:$G$540,'[1]00320_15'!$DM$365:$DM$540)</f>
        <v>19957</v>
      </c>
      <c r="K4">
        <f>_xlfn.XLOOKUP(main!$C$5,'[1]00320_15'!$G$365:$G$540,'[1]00320_15'!$DN$365:$DN$540)</f>
        <v>19728</v>
      </c>
      <c r="L4">
        <f>_xlfn.XLOOKUP(main!$C$5,'[1]00320_15'!$G$365:$G$540,'[1]00320_15'!$DO$365:$DO$540)</f>
        <v>22607</v>
      </c>
      <c r="M4">
        <f>_xlfn.XLOOKUP(main!$C$5,'[1]00320_15'!$G$365:$G$540,'[1]00320_15'!$DP$365:$DP$540)</f>
        <v>27047</v>
      </c>
      <c r="N4">
        <f>_xlfn.XLOOKUP(main!$C$5,'[1]00320_15'!$G$365:$G$540,'[1]00320_15'!$DQ$365:$DQ$540)</f>
        <v>30219</v>
      </c>
      <c r="O4">
        <f>_xlfn.XLOOKUP(main!$C$5,'[1]00320_15'!$G$365:$G$540,'[1]00320_15'!$DR$365:$DR$540)</f>
        <v>26602</v>
      </c>
      <c r="P4">
        <f>_xlfn.XLOOKUP(main!$C$5,'[1]00320_15'!$G$365:$G$540,'[1]00320_15'!$DS$365:$DS$540)</f>
        <v>24540</v>
      </c>
      <c r="Q4">
        <f>_xlfn.XLOOKUP(main!$C$5,'[1]00320_15'!$G$365:$G$540,'[1]00320_15'!$DT$365:$DT$540)</f>
        <v>24455</v>
      </c>
      <c r="R4">
        <f>_xlfn.XLOOKUP(main!$C$5,'[1]00320_15'!$G$365:$G$540,'[1]00320_15'!$DU$365:$DU$540)</f>
        <v>28243</v>
      </c>
      <c r="S4">
        <f>_xlfn.XLOOKUP(main!$C$5,'[1]00320_15'!$G$365:$G$540,'[1]00320_15'!$DV$365:$DV$540)</f>
        <v>30304</v>
      </c>
      <c r="T4">
        <f>_xlfn.XLOOKUP(main!$C$5,'[1]00320_15'!$G$365:$G$540,'[1]00320_15'!$DW$365:$DW$540)</f>
        <v>21683</v>
      </c>
      <c r="U4">
        <f>_xlfn.XLOOKUP(main!$C$5,'[1]00320_15'!$G$365:$G$540,'[1]00320_15'!$DX$365:$DX$540)</f>
        <v>17529</v>
      </c>
      <c r="V4">
        <f>_xlfn.XLOOKUP(main!$C$5,'[1]00320_15'!$G$365:$G$540,'[1]00320_15'!$DY$365:$DY$540)</f>
        <v>12684</v>
      </c>
      <c r="W4">
        <f>_xlfn.XLOOKUP(main!$C$5,'[1]00320_15'!$G$365:$G$540,'[1]00320_15'!$DZ$365:$DZ$540)</f>
        <v>7212</v>
      </c>
      <c r="X4">
        <f>IF(TYPE(_xlfn.XLOOKUP(main!$C$5,'[1]00320_15'!$G$365:$G$540,'[1]00320_15'!$EA$365:$EA$540))=1,_xlfn.XLOOKUP(main!$C$5,'[1]00320_15'!$G$365:$G$540,'[1]00320_15'!$EA$365:$EA$540),0)</f>
        <v>2247</v>
      </c>
      <c r="Y4">
        <f>IF(TYPE(_xlfn.XLOOKUP(main!$C$5,'[1]00320_15'!$G$365:$G$540,'[1]00320_15'!$EB$365:$EB$540))=1,_xlfn.XLOOKUP(main!$C$5,'[1]00320_15'!$G$365:$G$540,'[1]00320_15'!$EB$365:$EB$540),0)</f>
        <v>529</v>
      </c>
      <c r="Z4">
        <f>IF(TYPE(_xlfn.XLOOKUP(main!$C$5,'[1]00320_15'!$G$365:$G$540,'[1]00320_15'!$EB$365:$EB$540))=1,_xlfn.XLOOKUP(main!$C$5,'[1]00320_15'!$G$365:$G$540,'[1]00320_15'!$EC$365:$EC$540),0)</f>
        <v>64</v>
      </c>
      <c r="AA4">
        <f>_xlfn.XLOOKUP(main!$C$5,'[1]00320_15'!$G$365:$G$540,'[1]00320_15'!$DF$365:$DF$540)</f>
        <v>3469</v>
      </c>
      <c r="AB4">
        <f>SUM(F4:Z4)</f>
        <v>386043</v>
      </c>
    </row>
    <row r="5" spans="1:28" x14ac:dyDescent="0.4">
      <c r="A5" t="s">
        <v>203</v>
      </c>
      <c r="B5">
        <f>_xlfn.XLOOKUP(main!$C$5,'[1]00320_15'!$G$717:$G$892,'[1]00320_15'!$B$717:$B$892)</f>
        <v>301</v>
      </c>
      <c r="C5">
        <f>_xlfn.XLOOKUP(main!$C$5,'[1]00320_15'!$G$717:$G$892,'[1]00320_15'!$C$717:$C$892)</f>
        <v>15100</v>
      </c>
      <c r="D5">
        <f>_xlfn.XLOOKUP(main!$C$5,'[1]00320_15'!$G$717:$G$892,'[1]00320_15'!$D$717:$D$892)</f>
        <v>1</v>
      </c>
      <c r="E5" s="56"/>
      <c r="F5">
        <f>_xlfn.XLOOKUP(main!$C$5,'[1]00320_15'!$G$717:$G$892,'[1]00320_15'!$DI$717:$DI$892)</f>
        <v>15099</v>
      </c>
      <c r="G5">
        <f>_xlfn.XLOOKUP(main!$C$5,'[1]00320_15'!$G$717:$G$892,'[1]00320_15'!$DJ$717:$DJ$892)</f>
        <v>16185</v>
      </c>
      <c r="H5">
        <f>_xlfn.XLOOKUP(main!$C$5,'[1]00320_15'!$G$717:$G$892,'[1]00320_15'!$DK$717:$DK$892)</f>
        <v>16835</v>
      </c>
      <c r="I5">
        <f>_xlfn.XLOOKUP(main!$C$5,'[1]00320_15'!$G$717:$G$892,'[1]00320_15'!$DL$717:$DL$892)</f>
        <v>19500</v>
      </c>
      <c r="J5">
        <f>_xlfn.XLOOKUP(main!$C$5,'[1]00320_15'!$G$717:$G$892,'[1]00320_15'!$DM$717:$DM$892)</f>
        <v>19939</v>
      </c>
      <c r="K5">
        <f>_xlfn.XLOOKUP(main!$C$5,'[1]00320_15'!$G$717:$G$892,'[1]00320_15'!$DN$717:$DN$892)</f>
        <v>19979</v>
      </c>
      <c r="L5">
        <f>_xlfn.XLOOKUP(main!$C$5,'[1]00320_15'!$G$717:$G$892,'[1]00320_15'!$DO$717:$DO$892)</f>
        <v>22710</v>
      </c>
      <c r="M5">
        <f>_xlfn.XLOOKUP(main!$C$5,'[1]00320_15'!$G$717:$G$892,'[1]00320_15'!$DP$717:$DP$892)</f>
        <v>26657</v>
      </c>
      <c r="N5">
        <f>_xlfn.XLOOKUP(main!$C$5,'[1]00320_15'!$G$717:$G$892,'[1]00320_15'!$DQ$717:$DQ$892)</f>
        <v>30282</v>
      </c>
      <c r="O5">
        <f>_xlfn.XLOOKUP(main!$C$5,'[1]00320_15'!$G$717:$G$892,'[1]00320_15'!$DR$717:$DR$892)</f>
        <v>26548</v>
      </c>
      <c r="P5">
        <f>_xlfn.XLOOKUP(main!$C$5,'[1]00320_15'!$G$717:$G$892,'[1]00320_15'!$DS$717:$DS$892)</f>
        <v>25160</v>
      </c>
      <c r="Q5">
        <f>_xlfn.XLOOKUP(main!$C$5,'[1]00320_15'!$G$717:$G$892,'[1]00320_15'!$DT$717:$DT$892)</f>
        <v>25012</v>
      </c>
      <c r="R5">
        <f>_xlfn.XLOOKUP(main!$C$5,'[1]00320_15'!$G$717:$G$892,'[1]00320_15'!$DU$717:$DU$892)</f>
        <v>29485</v>
      </c>
      <c r="S5">
        <f>_xlfn.XLOOKUP(main!$C$5,'[1]00320_15'!$G$717:$G$892,'[1]00320_15'!$DV$717:$DV$892)</f>
        <v>32525</v>
      </c>
      <c r="T5">
        <f>_xlfn.XLOOKUP(main!$C$5,'[1]00320_15'!$G$717:$G$892,'[1]00320_15'!$DW$717:$DW$892)</f>
        <v>24904</v>
      </c>
      <c r="U5">
        <f>_xlfn.XLOOKUP(main!$C$5,'[1]00320_15'!$G$717:$G$892,'[1]00320_15'!$DX$717:$DX$892)</f>
        <v>22518</v>
      </c>
      <c r="V5">
        <f>_xlfn.XLOOKUP(main!$C$5,'[1]00320_15'!$G$717:$G$892,'[1]00320_15'!$DY$717:$DY$892)</f>
        <v>20052</v>
      </c>
      <c r="W5">
        <f>_xlfn.XLOOKUP(main!$C$5,'[1]00320_15'!$G$717:$G$892,'[1]00320_15'!$DZ$717:$DZ$892)</f>
        <v>14767</v>
      </c>
      <c r="X5">
        <f>_xlfn.XLOOKUP(main!$C$5,'[1]00320_15'!$G$717:$G$892,'[1]00320_15'!$EA$717:$EA$892)</f>
        <v>7403</v>
      </c>
      <c r="Y5">
        <f>_xlfn.XLOOKUP(main!$C$5,'[1]00320_15'!$G$717:$G$892,'[1]00320_15'!$EB$717:$EB$892)</f>
        <v>2286</v>
      </c>
      <c r="Z5">
        <f>IF(TYPE(_xlfn.XLOOKUP(main!$C$5,'[1]00320_15'!$G$365:$G$540,'[1]00320_15'!$EB$365:$EB$540))=1,_xlfn.XLOOKUP(main!$C$5,'[1]00320_15'!$G$717:$G$892,'[1]00320_15'!$EC$717:$EC$892),0)</f>
        <v>400</v>
      </c>
      <c r="AA5">
        <f>_xlfn.XLOOKUP(main!$C$5,'[1]00320_15'!$G$717:$G$892,'[1]00320_15'!$DF$717:$DF$892)</f>
        <v>2399</v>
      </c>
      <c r="AB5">
        <f>SUM(F5:Z5)</f>
        <v>418246</v>
      </c>
    </row>
    <row r="7" spans="1:28" x14ac:dyDescent="0.4">
      <c r="F7" t="s">
        <v>228</v>
      </c>
      <c r="G7" t="s">
        <v>229</v>
      </c>
      <c r="H7" t="s">
        <v>230</v>
      </c>
      <c r="I7" t="s">
        <v>231</v>
      </c>
    </row>
    <row r="8" spans="1:28" x14ac:dyDescent="0.4">
      <c r="C8" t="s">
        <v>227</v>
      </c>
      <c r="D8" t="str">
        <f>_xlfn.XLOOKUP(main!C5,国勢調査,datasheet!B:B)</f>
        <v>新潟市</v>
      </c>
      <c r="E8" t="s">
        <v>204</v>
      </c>
      <c r="F8">
        <f>SUM(F15,F22)</f>
        <v>99096</v>
      </c>
      <c r="G8">
        <f t="shared" ref="G8:H8" si="0">SUM(G15,G22)</f>
        <v>492410</v>
      </c>
      <c r="H8">
        <f t="shared" si="0"/>
        <v>218653</v>
      </c>
      <c r="I8">
        <f>SUM(F8:H8)</f>
        <v>810159</v>
      </c>
    </row>
    <row r="9" spans="1:28" x14ac:dyDescent="0.4">
      <c r="E9" t="s">
        <v>205</v>
      </c>
      <c r="F9">
        <f t="shared" ref="F9:H9" si="1">SUM(F16,F23)</f>
        <v>94654</v>
      </c>
      <c r="G9">
        <f t="shared" si="1"/>
        <v>469388</v>
      </c>
      <c r="H9">
        <f t="shared" si="1"/>
        <v>238852</v>
      </c>
      <c r="I9">
        <f t="shared" ref="I9:I26" si="2">SUM(F9:H9)</f>
        <v>802894</v>
      </c>
    </row>
    <row r="10" spans="1:28" x14ac:dyDescent="0.4">
      <c r="E10" t="s">
        <v>206</v>
      </c>
      <c r="F10">
        <f t="shared" ref="F10:H10" si="3">SUM(F17,F24)</f>
        <v>88858</v>
      </c>
      <c r="G10">
        <f t="shared" si="3"/>
        <v>453423</v>
      </c>
      <c r="H10">
        <f t="shared" si="3"/>
        <v>245667</v>
      </c>
      <c r="I10">
        <f t="shared" si="2"/>
        <v>787948</v>
      </c>
    </row>
    <row r="11" spans="1:28" x14ac:dyDescent="0.4">
      <c r="E11" t="s">
        <v>207</v>
      </c>
      <c r="F11">
        <f t="shared" ref="F11:H11" si="4">SUM(F18,F25)</f>
        <v>83378</v>
      </c>
      <c r="G11">
        <f t="shared" si="4"/>
        <v>435583</v>
      </c>
      <c r="H11">
        <f t="shared" si="4"/>
        <v>248624</v>
      </c>
      <c r="I11">
        <f t="shared" si="2"/>
        <v>767585</v>
      </c>
    </row>
    <row r="12" spans="1:28" x14ac:dyDescent="0.4">
      <c r="E12" t="s">
        <v>208</v>
      </c>
      <c r="F12">
        <f t="shared" ref="F12:H12" si="5">SUM(F19,F26)</f>
        <v>78503</v>
      </c>
      <c r="G12">
        <f t="shared" si="5"/>
        <v>412755</v>
      </c>
      <c r="H12">
        <f t="shared" si="5"/>
        <v>252194</v>
      </c>
      <c r="I12">
        <f t="shared" si="2"/>
        <v>743452</v>
      </c>
    </row>
    <row r="13" spans="1:28" x14ac:dyDescent="0.4">
      <c r="E13" t="s">
        <v>209</v>
      </c>
      <c r="F13">
        <f t="shared" ref="F13:H14" si="6">SUM(F20,F27)</f>
        <v>74823</v>
      </c>
      <c r="G13">
        <f t="shared" si="6"/>
        <v>380003</v>
      </c>
      <c r="H13">
        <f t="shared" si="6"/>
        <v>260322</v>
      </c>
      <c r="I13">
        <f t="shared" si="2"/>
        <v>715148</v>
      </c>
    </row>
    <row r="14" spans="1:28" x14ac:dyDescent="0.4">
      <c r="E14" t="s">
        <v>258</v>
      </c>
      <c r="F14">
        <f t="shared" si="6"/>
        <v>70860</v>
      </c>
      <c r="G14">
        <f t="shared" si="6"/>
        <v>352230</v>
      </c>
      <c r="H14">
        <f t="shared" si="6"/>
        <v>260844</v>
      </c>
      <c r="I14">
        <f t="shared" si="2"/>
        <v>683934</v>
      </c>
    </row>
    <row r="15" spans="1:28" x14ac:dyDescent="0.4">
      <c r="C15" t="s">
        <v>202</v>
      </c>
      <c r="D15" t="str">
        <f>$D$8</f>
        <v>新潟市</v>
      </c>
      <c r="E15" t="s">
        <v>204</v>
      </c>
      <c r="F15">
        <f t="shared" ref="F15:F27" si="7">SUM(F31:H31)</f>
        <v>50700</v>
      </c>
      <c r="G15">
        <f t="shared" ref="G15:G27" si="8">SUM(I31:R31)</f>
        <v>245732</v>
      </c>
      <c r="H15">
        <f t="shared" ref="H15:H27" si="9">SUM(S31:Z31)</f>
        <v>93082</v>
      </c>
      <c r="I15">
        <f t="shared" si="2"/>
        <v>389514</v>
      </c>
    </row>
    <row r="16" spans="1:28" x14ac:dyDescent="0.4">
      <c r="E16" t="s">
        <v>205</v>
      </c>
      <c r="F16">
        <f t="shared" si="7"/>
        <v>48364</v>
      </c>
      <c r="G16">
        <f t="shared" si="8"/>
        <v>234992</v>
      </c>
      <c r="H16">
        <f t="shared" si="9"/>
        <v>102469</v>
      </c>
      <c r="I16">
        <f t="shared" si="2"/>
        <v>385825</v>
      </c>
    </row>
    <row r="17" spans="3:26" x14ac:dyDescent="0.4">
      <c r="E17" t="s">
        <v>206</v>
      </c>
      <c r="F17">
        <f t="shared" si="7"/>
        <v>45449</v>
      </c>
      <c r="G17">
        <f t="shared" si="8"/>
        <v>227302</v>
      </c>
      <c r="H17">
        <f t="shared" si="9"/>
        <v>105740</v>
      </c>
      <c r="I17">
        <f t="shared" si="2"/>
        <v>378491</v>
      </c>
    </row>
    <row r="18" spans="3:26" x14ac:dyDescent="0.4">
      <c r="E18" t="s">
        <v>207</v>
      </c>
      <c r="F18">
        <f t="shared" si="7"/>
        <v>42668</v>
      </c>
      <c r="G18">
        <f t="shared" si="8"/>
        <v>218769</v>
      </c>
      <c r="H18">
        <f t="shared" si="9"/>
        <v>107169</v>
      </c>
      <c r="I18">
        <f t="shared" si="2"/>
        <v>368606</v>
      </c>
    </row>
    <row r="19" spans="3:26" x14ac:dyDescent="0.4">
      <c r="E19" t="s">
        <v>208</v>
      </c>
      <c r="F19">
        <f t="shared" si="7"/>
        <v>40174</v>
      </c>
      <c r="G19">
        <f t="shared" si="8"/>
        <v>207505</v>
      </c>
      <c r="H19">
        <f t="shared" si="9"/>
        <v>109029</v>
      </c>
      <c r="I19">
        <f t="shared" si="2"/>
        <v>356708</v>
      </c>
    </row>
    <row r="20" spans="3:26" x14ac:dyDescent="0.4">
      <c r="E20" t="s">
        <v>209</v>
      </c>
      <c r="F20">
        <f t="shared" si="7"/>
        <v>38291</v>
      </c>
      <c r="G20">
        <f t="shared" si="8"/>
        <v>191327</v>
      </c>
      <c r="H20">
        <f t="shared" si="9"/>
        <v>113439</v>
      </c>
      <c r="I20">
        <f t="shared" si="2"/>
        <v>343057</v>
      </c>
    </row>
    <row r="21" spans="3:26" x14ac:dyDescent="0.4">
      <c r="E21" t="s">
        <v>258</v>
      </c>
      <c r="F21">
        <f t="shared" si="7"/>
        <v>36263</v>
      </c>
      <c r="G21">
        <f t="shared" si="8"/>
        <v>177430</v>
      </c>
      <c r="H21">
        <f t="shared" si="9"/>
        <v>114659</v>
      </c>
      <c r="I21">
        <f t="shared" si="2"/>
        <v>328352</v>
      </c>
    </row>
    <row r="22" spans="3:26" x14ac:dyDescent="0.4">
      <c r="C22" t="s">
        <v>203</v>
      </c>
      <c r="D22" t="str">
        <f>$D$8</f>
        <v>新潟市</v>
      </c>
      <c r="E22" t="s">
        <v>204</v>
      </c>
      <c r="F22">
        <f t="shared" si="7"/>
        <v>48396</v>
      </c>
      <c r="G22">
        <f t="shared" si="8"/>
        <v>246678</v>
      </c>
      <c r="H22">
        <f t="shared" si="9"/>
        <v>125571</v>
      </c>
      <c r="I22">
        <f t="shared" ref="I22" si="10">SUM(F22:H22)</f>
        <v>420645</v>
      </c>
    </row>
    <row r="23" spans="3:26" x14ac:dyDescent="0.4">
      <c r="E23" t="s">
        <v>205</v>
      </c>
      <c r="F23">
        <f t="shared" si="7"/>
        <v>46290</v>
      </c>
      <c r="G23">
        <f t="shared" si="8"/>
        <v>234396</v>
      </c>
      <c r="H23">
        <f t="shared" si="9"/>
        <v>136383</v>
      </c>
      <c r="I23">
        <f t="shared" si="2"/>
        <v>417069</v>
      </c>
    </row>
    <row r="24" spans="3:26" x14ac:dyDescent="0.4">
      <c r="E24" t="s">
        <v>206</v>
      </c>
      <c r="F24">
        <f t="shared" si="7"/>
        <v>43409</v>
      </c>
      <c r="G24">
        <f t="shared" si="8"/>
        <v>226121</v>
      </c>
      <c r="H24">
        <f t="shared" si="9"/>
        <v>139927</v>
      </c>
      <c r="I24">
        <f t="shared" si="2"/>
        <v>409457</v>
      </c>
    </row>
    <row r="25" spans="3:26" x14ac:dyDescent="0.4">
      <c r="E25" t="s">
        <v>207</v>
      </c>
      <c r="F25">
        <f t="shared" si="7"/>
        <v>40710</v>
      </c>
      <c r="G25">
        <f t="shared" si="8"/>
        <v>216814</v>
      </c>
      <c r="H25">
        <f t="shared" si="9"/>
        <v>141455</v>
      </c>
      <c r="I25">
        <f t="shared" si="2"/>
        <v>398979</v>
      </c>
    </row>
    <row r="26" spans="3:26" x14ac:dyDescent="0.4">
      <c r="E26" t="s">
        <v>208</v>
      </c>
      <c r="F26">
        <f t="shared" si="7"/>
        <v>38329</v>
      </c>
      <c r="G26">
        <f t="shared" si="8"/>
        <v>205250</v>
      </c>
      <c r="H26">
        <f t="shared" si="9"/>
        <v>143165</v>
      </c>
      <c r="I26">
        <f t="shared" si="2"/>
        <v>386744</v>
      </c>
    </row>
    <row r="27" spans="3:26" x14ac:dyDescent="0.4">
      <c r="E27" t="s">
        <v>209</v>
      </c>
      <c r="F27">
        <f t="shared" si="7"/>
        <v>36532</v>
      </c>
      <c r="G27">
        <f t="shared" si="8"/>
        <v>188676</v>
      </c>
      <c r="H27">
        <f t="shared" si="9"/>
        <v>146883</v>
      </c>
      <c r="I27">
        <f t="shared" ref="I27" si="11">SUM(F27:H27)</f>
        <v>372091</v>
      </c>
    </row>
    <row r="28" spans="3:26" x14ac:dyDescent="0.4">
      <c r="E28" t="s">
        <v>258</v>
      </c>
      <c r="F28">
        <f t="shared" ref="F28" si="12">SUM(F44:H44)</f>
        <v>34597</v>
      </c>
      <c r="G28">
        <f t="shared" ref="G28" si="13">SUM(I44:R44)</f>
        <v>174800</v>
      </c>
      <c r="H28">
        <f t="shared" ref="H28" si="14">SUM(S44:Z44)</f>
        <v>146185</v>
      </c>
      <c r="I28">
        <f t="shared" ref="I28" si="15">SUM(F28:H28)</f>
        <v>355582</v>
      </c>
    </row>
    <row r="30" spans="3:26" x14ac:dyDescent="0.4">
      <c r="F30" t="s">
        <v>4</v>
      </c>
      <c r="G30" t="s">
        <v>5</v>
      </c>
      <c r="H30" t="s">
        <v>6</v>
      </c>
      <c r="I30" t="s">
        <v>7</v>
      </c>
      <c r="J30" t="s">
        <v>8</v>
      </c>
      <c r="K30" t="s">
        <v>9</v>
      </c>
      <c r="L30" t="s">
        <v>10</v>
      </c>
      <c r="M30" t="s">
        <v>11</v>
      </c>
      <c r="N30" t="s">
        <v>12</v>
      </c>
      <c r="O30" t="s">
        <v>13</v>
      </c>
      <c r="P30" t="s">
        <v>14</v>
      </c>
      <c r="Q30" t="s">
        <v>15</v>
      </c>
      <c r="R30" t="s">
        <v>16</v>
      </c>
      <c r="S30" t="s">
        <v>17</v>
      </c>
      <c r="T30" t="s">
        <v>18</v>
      </c>
      <c r="U30" t="s">
        <v>19</v>
      </c>
      <c r="V30" t="s">
        <v>20</v>
      </c>
      <c r="W30" t="s">
        <v>21</v>
      </c>
      <c r="X30" t="s">
        <v>22</v>
      </c>
      <c r="Y30" t="s">
        <v>23</v>
      </c>
      <c r="Z30" t="s">
        <v>24</v>
      </c>
    </row>
    <row r="31" spans="3:26" x14ac:dyDescent="0.4">
      <c r="C31" t="s">
        <v>202</v>
      </c>
      <c r="D31" t="str">
        <f>$D$8</f>
        <v>新潟市</v>
      </c>
      <c r="E31" t="s">
        <v>204</v>
      </c>
      <c r="F31">
        <f>IF(TYPE($AA$4)=1,ROUND(F4+($AA$4*(F4/$AB$4)),0),ROUND(F4,0))</f>
        <v>15921</v>
      </c>
      <c r="G31">
        <f t="shared" ref="G31:Z31" si="16">IF(TYPE($AA$4)=1,ROUND(G4+($AA$4*(G4/$AB$4)),0),ROUND(G4,0))</f>
        <v>16933</v>
      </c>
      <c r="H31">
        <f t="shared" si="16"/>
        <v>17846</v>
      </c>
      <c r="I31">
        <f t="shared" si="16"/>
        <v>20326</v>
      </c>
      <c r="J31">
        <f t="shared" si="16"/>
        <v>20136</v>
      </c>
      <c r="K31">
        <f t="shared" si="16"/>
        <v>19905</v>
      </c>
      <c r="L31">
        <f t="shared" si="16"/>
        <v>22810</v>
      </c>
      <c r="M31">
        <f t="shared" si="16"/>
        <v>27290</v>
      </c>
      <c r="N31">
        <f t="shared" si="16"/>
        <v>30491</v>
      </c>
      <c r="O31">
        <f t="shared" si="16"/>
        <v>26841</v>
      </c>
      <c r="P31">
        <f t="shared" si="16"/>
        <v>24761</v>
      </c>
      <c r="Q31">
        <f t="shared" si="16"/>
        <v>24675</v>
      </c>
      <c r="R31">
        <f t="shared" si="16"/>
        <v>28497</v>
      </c>
      <c r="S31">
        <f t="shared" si="16"/>
        <v>30576</v>
      </c>
      <c r="T31">
        <f t="shared" si="16"/>
        <v>21878</v>
      </c>
      <c r="U31">
        <f t="shared" si="16"/>
        <v>17687</v>
      </c>
      <c r="V31">
        <f t="shared" si="16"/>
        <v>12798</v>
      </c>
      <c r="W31">
        <f t="shared" si="16"/>
        <v>7277</v>
      </c>
      <c r="X31">
        <f t="shared" si="16"/>
        <v>2267</v>
      </c>
      <c r="Y31">
        <f t="shared" si="16"/>
        <v>534</v>
      </c>
      <c r="Z31">
        <f t="shared" si="16"/>
        <v>65</v>
      </c>
    </row>
    <row r="32" spans="3:26" x14ac:dyDescent="0.4">
      <c r="E32" t="s">
        <v>205</v>
      </c>
      <c r="F32">
        <f t="shared" ref="F32:F37" si="17">ROUND(SUM(I39:O39)*F74*(F80/(100+F80)),0)</f>
        <v>15090</v>
      </c>
      <c r="G32">
        <f>ROUND(F31*(F48+F61),0)</f>
        <v>16167</v>
      </c>
      <c r="H32">
        <f t="shared" ref="H32:K32" si="18">ROUND(G31*(G48+G61),0)</f>
        <v>17107</v>
      </c>
      <c r="I32">
        <f t="shared" si="18"/>
        <v>18507</v>
      </c>
      <c r="J32">
        <f t="shared" si="18"/>
        <v>20306</v>
      </c>
      <c r="K32">
        <f t="shared" si="18"/>
        <v>18919</v>
      </c>
      <c r="L32">
        <f t="shared" ref="L32:U32" si="19">ROUND(K31*(K48+K61),0)</f>
        <v>20333</v>
      </c>
      <c r="M32">
        <f t="shared" si="19"/>
        <v>23479</v>
      </c>
      <c r="N32">
        <f t="shared" si="19"/>
        <v>27473</v>
      </c>
      <c r="O32">
        <f t="shared" si="19"/>
        <v>30528</v>
      </c>
      <c r="P32">
        <f t="shared" si="19"/>
        <v>26520</v>
      </c>
      <c r="Q32">
        <f t="shared" si="19"/>
        <v>24487</v>
      </c>
      <c r="R32">
        <f t="shared" si="19"/>
        <v>24440</v>
      </c>
      <c r="S32">
        <f t="shared" si="19"/>
        <v>27255</v>
      </c>
      <c r="T32">
        <f t="shared" si="19"/>
        <v>28401</v>
      </c>
      <c r="U32">
        <f t="shared" si="19"/>
        <v>19404</v>
      </c>
      <c r="V32">
        <f t="shared" ref="V32:W32" si="20">ROUND(U31*(U48+U61),0)</f>
        <v>14180</v>
      </c>
      <c r="W32">
        <f t="shared" si="20"/>
        <v>8606</v>
      </c>
      <c r="X32">
        <f>ROUND(W31*($W48+$W61),0)</f>
        <v>3338</v>
      </c>
      <c r="Y32">
        <f t="shared" ref="Y32:Z32" si="21">ROUND(X31*($W48+$W61),0)</f>
        <v>1040</v>
      </c>
      <c r="Z32">
        <f t="shared" si="21"/>
        <v>245</v>
      </c>
    </row>
    <row r="33" spans="2:26" x14ac:dyDescent="0.4">
      <c r="E33" t="s">
        <v>206</v>
      </c>
      <c r="F33">
        <f t="shared" si="17"/>
        <v>13793</v>
      </c>
      <c r="G33">
        <f t="shared" ref="G33:U33" si="22">ROUND(F32*(F49+F62),0)</f>
        <v>15327</v>
      </c>
      <c r="H33">
        <f t="shared" si="22"/>
        <v>16329</v>
      </c>
      <c r="I33">
        <f t="shared" si="22"/>
        <v>17662</v>
      </c>
      <c r="J33">
        <f t="shared" si="22"/>
        <v>18385</v>
      </c>
      <c r="K33">
        <f t="shared" si="22"/>
        <v>19062</v>
      </c>
      <c r="L33">
        <f t="shared" si="22"/>
        <v>19315</v>
      </c>
      <c r="M33">
        <f t="shared" si="22"/>
        <v>20975</v>
      </c>
      <c r="N33">
        <f t="shared" si="22"/>
        <v>23710</v>
      </c>
      <c r="O33">
        <f t="shared" si="22"/>
        <v>27491</v>
      </c>
      <c r="P33">
        <f t="shared" si="22"/>
        <v>30161</v>
      </c>
      <c r="Q33">
        <f t="shared" si="22"/>
        <v>26235</v>
      </c>
      <c r="R33">
        <f t="shared" si="22"/>
        <v>24306</v>
      </c>
      <c r="S33">
        <f t="shared" si="22"/>
        <v>23454</v>
      </c>
      <c r="T33">
        <f t="shared" si="22"/>
        <v>25372</v>
      </c>
      <c r="U33">
        <f t="shared" si="22"/>
        <v>25428</v>
      </c>
      <c r="V33">
        <f t="shared" ref="V33:W33" si="23">ROUND(U32*(U49+U62),0)</f>
        <v>15735</v>
      </c>
      <c r="W33">
        <f t="shared" si="23"/>
        <v>9727</v>
      </c>
      <c r="X33">
        <f t="shared" ref="X33:Z37" si="24">ROUND(W32*($W49+$W62),0)</f>
        <v>3993</v>
      </c>
      <c r="Y33">
        <f t="shared" si="24"/>
        <v>1549</v>
      </c>
      <c r="Z33">
        <f t="shared" si="24"/>
        <v>482</v>
      </c>
    </row>
    <row r="34" spans="2:26" x14ac:dyDescent="0.4">
      <c r="E34" t="s">
        <v>207</v>
      </c>
      <c r="F34">
        <f t="shared" si="17"/>
        <v>13177</v>
      </c>
      <c r="G34">
        <f t="shared" ref="G34:U34" si="25">ROUND(F33*(F50+F63),0)</f>
        <v>14014</v>
      </c>
      <c r="H34">
        <f t="shared" si="25"/>
        <v>15477</v>
      </c>
      <c r="I34">
        <f t="shared" si="25"/>
        <v>16813</v>
      </c>
      <c r="J34">
        <f t="shared" si="25"/>
        <v>17407</v>
      </c>
      <c r="K34">
        <f t="shared" si="25"/>
        <v>17229</v>
      </c>
      <c r="L34">
        <f t="shared" si="25"/>
        <v>19409</v>
      </c>
      <c r="M34">
        <f t="shared" si="25"/>
        <v>19917</v>
      </c>
      <c r="N34">
        <f t="shared" si="25"/>
        <v>21177</v>
      </c>
      <c r="O34">
        <f t="shared" si="25"/>
        <v>23775</v>
      </c>
      <c r="P34">
        <f t="shared" si="25"/>
        <v>27130</v>
      </c>
      <c r="Q34">
        <f t="shared" si="25"/>
        <v>29836</v>
      </c>
      <c r="R34">
        <f t="shared" si="25"/>
        <v>26076</v>
      </c>
      <c r="S34">
        <f t="shared" si="25"/>
        <v>23394</v>
      </c>
      <c r="T34">
        <f t="shared" si="25"/>
        <v>21921</v>
      </c>
      <c r="U34">
        <f t="shared" si="25"/>
        <v>22773</v>
      </c>
      <c r="V34">
        <f t="shared" ref="V34:W34" si="26">ROUND(U33*(U50+U63),0)</f>
        <v>20982</v>
      </c>
      <c r="W34">
        <f t="shared" si="26"/>
        <v>10975</v>
      </c>
      <c r="X34">
        <f t="shared" si="24"/>
        <v>4538</v>
      </c>
      <c r="Y34">
        <f t="shared" si="24"/>
        <v>1863</v>
      </c>
      <c r="Z34">
        <f t="shared" si="24"/>
        <v>723</v>
      </c>
    </row>
    <row r="35" spans="2:26" x14ac:dyDescent="0.4">
      <c r="E35" t="s">
        <v>208</v>
      </c>
      <c r="F35">
        <f t="shared" si="17"/>
        <v>12630</v>
      </c>
      <c r="G35">
        <f t="shared" ref="G35:U35" si="27">ROUND(F34*(F51+F64),0)</f>
        <v>13393</v>
      </c>
      <c r="H35">
        <f t="shared" si="27"/>
        <v>14151</v>
      </c>
      <c r="I35">
        <f t="shared" si="27"/>
        <v>15903</v>
      </c>
      <c r="J35">
        <f t="shared" si="27"/>
        <v>16507</v>
      </c>
      <c r="K35">
        <f t="shared" si="27"/>
        <v>16290</v>
      </c>
      <c r="L35">
        <f t="shared" si="27"/>
        <v>17506</v>
      </c>
      <c r="M35">
        <f t="shared" si="27"/>
        <v>19932</v>
      </c>
      <c r="N35">
        <f t="shared" si="27"/>
        <v>20086</v>
      </c>
      <c r="O35">
        <f t="shared" si="27"/>
        <v>21234</v>
      </c>
      <c r="P35">
        <f t="shared" si="27"/>
        <v>23504</v>
      </c>
      <c r="Q35">
        <f t="shared" si="27"/>
        <v>26884</v>
      </c>
      <c r="R35">
        <f t="shared" si="27"/>
        <v>29659</v>
      </c>
      <c r="S35">
        <f t="shared" si="27"/>
        <v>25144</v>
      </c>
      <c r="T35">
        <f t="shared" si="27"/>
        <v>21936</v>
      </c>
      <c r="U35">
        <f t="shared" si="27"/>
        <v>19790</v>
      </c>
      <c r="V35">
        <f t="shared" ref="V35:W35" si="28">ROUND(U34*(U51+U64),0)</f>
        <v>18867</v>
      </c>
      <c r="W35">
        <f t="shared" si="28"/>
        <v>15063</v>
      </c>
      <c r="X35">
        <f t="shared" si="24"/>
        <v>5198</v>
      </c>
      <c r="Y35">
        <f t="shared" si="24"/>
        <v>2149</v>
      </c>
      <c r="Z35">
        <f t="shared" si="24"/>
        <v>882</v>
      </c>
    </row>
    <row r="36" spans="2:26" x14ac:dyDescent="0.4">
      <c r="E36" t="s">
        <v>209</v>
      </c>
      <c r="F36">
        <f t="shared" si="17"/>
        <v>11927</v>
      </c>
      <c r="G36">
        <f t="shared" ref="G36:U36" si="29">ROUND(F35*(F52+F65),0)</f>
        <v>12840</v>
      </c>
      <c r="H36">
        <f t="shared" si="29"/>
        <v>13524</v>
      </c>
      <c r="I36">
        <f t="shared" si="29"/>
        <v>14514</v>
      </c>
      <c r="J36">
        <f t="shared" si="29"/>
        <v>15571</v>
      </c>
      <c r="K36">
        <f t="shared" si="29"/>
        <v>15446</v>
      </c>
      <c r="L36">
        <f t="shared" si="29"/>
        <v>16521</v>
      </c>
      <c r="M36">
        <f t="shared" si="29"/>
        <v>17946</v>
      </c>
      <c r="N36">
        <f t="shared" si="29"/>
        <v>20095</v>
      </c>
      <c r="O36">
        <f t="shared" si="29"/>
        <v>20123</v>
      </c>
      <c r="P36">
        <f t="shared" si="29"/>
        <v>21000</v>
      </c>
      <c r="Q36">
        <f t="shared" si="29"/>
        <v>23330</v>
      </c>
      <c r="R36">
        <f t="shared" si="29"/>
        <v>26781</v>
      </c>
      <c r="S36">
        <f t="shared" si="29"/>
        <v>28622</v>
      </c>
      <c r="T36">
        <f t="shared" si="29"/>
        <v>23639</v>
      </c>
      <c r="U36">
        <f t="shared" si="29"/>
        <v>19895</v>
      </c>
      <c r="V36">
        <f t="shared" ref="V36:W36" si="30">ROUND(U35*(U52+U65),0)</f>
        <v>16579</v>
      </c>
      <c r="W36">
        <f t="shared" si="30"/>
        <v>13628</v>
      </c>
      <c r="X36">
        <f t="shared" si="24"/>
        <v>7445</v>
      </c>
      <c r="Y36">
        <f t="shared" si="24"/>
        <v>2569</v>
      </c>
      <c r="Z36">
        <f t="shared" si="24"/>
        <v>1062</v>
      </c>
    </row>
    <row r="37" spans="2:26" x14ac:dyDescent="0.4">
      <c r="E37" t="s">
        <v>258</v>
      </c>
      <c r="F37">
        <f t="shared" si="17"/>
        <v>11170</v>
      </c>
      <c r="G37">
        <f t="shared" ref="G37:U37" si="31">ROUND(F36*(F53+F66),0)</f>
        <v>12129</v>
      </c>
      <c r="H37">
        <f t="shared" si="31"/>
        <v>12964</v>
      </c>
      <c r="I37">
        <f t="shared" si="31"/>
        <v>13845</v>
      </c>
      <c r="J37">
        <f t="shared" si="31"/>
        <v>14165</v>
      </c>
      <c r="K37">
        <f t="shared" si="31"/>
        <v>14570</v>
      </c>
      <c r="L37">
        <f t="shared" si="31"/>
        <v>15660</v>
      </c>
      <c r="M37">
        <f t="shared" si="31"/>
        <v>16914</v>
      </c>
      <c r="N37">
        <f t="shared" si="31"/>
        <v>18119</v>
      </c>
      <c r="O37">
        <f t="shared" si="31"/>
        <v>20126</v>
      </c>
      <c r="P37">
        <f t="shared" si="31"/>
        <v>19900</v>
      </c>
      <c r="Q37">
        <f t="shared" si="31"/>
        <v>20858</v>
      </c>
      <c r="R37">
        <f t="shared" si="31"/>
        <v>23273</v>
      </c>
      <c r="S37">
        <f t="shared" si="31"/>
        <v>25867</v>
      </c>
      <c r="T37">
        <f t="shared" si="31"/>
        <v>26941</v>
      </c>
      <c r="U37">
        <f t="shared" si="31"/>
        <v>21521</v>
      </c>
      <c r="V37">
        <f t="shared" ref="V37:W37" si="32">ROUND(U36*(U53+U66),0)</f>
        <v>16819</v>
      </c>
      <c r="W37">
        <f t="shared" si="32"/>
        <v>12203</v>
      </c>
      <c r="X37">
        <f t="shared" si="24"/>
        <v>6518</v>
      </c>
      <c r="Y37">
        <f t="shared" si="24"/>
        <v>3561</v>
      </c>
      <c r="Z37">
        <f t="shared" si="24"/>
        <v>1229</v>
      </c>
    </row>
    <row r="38" spans="2:26" x14ac:dyDescent="0.4">
      <c r="C38" t="s">
        <v>203</v>
      </c>
      <c r="D38" t="str">
        <f>$D$8</f>
        <v>新潟市</v>
      </c>
      <c r="E38" t="s">
        <v>204</v>
      </c>
      <c r="F38">
        <f>IF(TYPE($AA$5)=1,ROUND(F5+($AA$5*(F5/$AB$5)),0),ROUND(F5,0))</f>
        <v>15186</v>
      </c>
      <c r="G38">
        <f t="shared" ref="G38:Z38" si="33">IF(TYPE($AA$5)=1,ROUND(G5+($AA$5*(G5/$AB$5)),0),ROUND(G5,0))</f>
        <v>16278</v>
      </c>
      <c r="H38">
        <f t="shared" si="33"/>
        <v>16932</v>
      </c>
      <c r="I38">
        <f t="shared" si="33"/>
        <v>19612</v>
      </c>
      <c r="J38">
        <f t="shared" si="33"/>
        <v>20053</v>
      </c>
      <c r="K38">
        <f t="shared" si="33"/>
        <v>20094</v>
      </c>
      <c r="L38">
        <f t="shared" si="33"/>
        <v>22840</v>
      </c>
      <c r="M38">
        <f t="shared" si="33"/>
        <v>26810</v>
      </c>
      <c r="N38">
        <f t="shared" si="33"/>
        <v>30456</v>
      </c>
      <c r="O38">
        <f t="shared" si="33"/>
        <v>26700</v>
      </c>
      <c r="P38">
        <f t="shared" si="33"/>
        <v>25304</v>
      </c>
      <c r="Q38">
        <f t="shared" si="33"/>
        <v>25155</v>
      </c>
      <c r="R38">
        <f t="shared" si="33"/>
        <v>29654</v>
      </c>
      <c r="S38">
        <f t="shared" si="33"/>
        <v>32712</v>
      </c>
      <c r="T38">
        <f t="shared" si="33"/>
        <v>25047</v>
      </c>
      <c r="U38">
        <f t="shared" si="33"/>
        <v>22647</v>
      </c>
      <c r="V38">
        <f t="shared" si="33"/>
        <v>20167</v>
      </c>
      <c r="W38">
        <f t="shared" si="33"/>
        <v>14852</v>
      </c>
      <c r="X38">
        <f t="shared" si="33"/>
        <v>7445</v>
      </c>
      <c r="Y38">
        <f t="shared" si="33"/>
        <v>2299</v>
      </c>
      <c r="Z38">
        <f t="shared" si="33"/>
        <v>402</v>
      </c>
    </row>
    <row r="39" spans="2:26" x14ac:dyDescent="0.4">
      <c r="E39" t="s">
        <v>205</v>
      </c>
      <c r="F39">
        <f t="shared" ref="F39:F44" si="34">ROUND(SUM(I39:O39)*F74*(100/(100+F80)),0)</f>
        <v>14344</v>
      </c>
      <c r="G39">
        <f>ROUND(F38*(F54+F67),0)</f>
        <v>15482</v>
      </c>
      <c r="H39">
        <f t="shared" ref="H39:W39" si="35">ROUND(G38*(G54+G67),0)</f>
        <v>16464</v>
      </c>
      <c r="I39">
        <f t="shared" si="35"/>
        <v>18086</v>
      </c>
      <c r="J39">
        <f t="shared" si="35"/>
        <v>19761</v>
      </c>
      <c r="K39">
        <f t="shared" si="35"/>
        <v>19014</v>
      </c>
      <c r="L39">
        <f t="shared" si="35"/>
        <v>20293</v>
      </c>
      <c r="M39">
        <f t="shared" si="35"/>
        <v>23156</v>
      </c>
      <c r="N39">
        <f t="shared" si="35"/>
        <v>27002</v>
      </c>
      <c r="O39">
        <f t="shared" si="35"/>
        <v>30394</v>
      </c>
      <c r="P39">
        <f t="shared" si="35"/>
        <v>26526</v>
      </c>
      <c r="Q39">
        <f t="shared" si="35"/>
        <v>25166</v>
      </c>
      <c r="R39">
        <f t="shared" si="35"/>
        <v>24998</v>
      </c>
      <c r="S39">
        <f t="shared" si="35"/>
        <v>29214</v>
      </c>
      <c r="T39">
        <f t="shared" si="35"/>
        <v>31815</v>
      </c>
      <c r="U39">
        <f t="shared" si="35"/>
        <v>23873</v>
      </c>
      <c r="V39">
        <f t="shared" si="35"/>
        <v>20751</v>
      </c>
      <c r="W39">
        <f t="shared" si="35"/>
        <v>16738</v>
      </c>
      <c r="X39">
        <f>ROUND(W38*($W54+$W67),0)</f>
        <v>8449</v>
      </c>
      <c r="Y39">
        <f t="shared" ref="Y39:Z39" si="36">ROUND(X38*($W54+$W67),0)</f>
        <v>4235</v>
      </c>
      <c r="Z39">
        <f t="shared" si="36"/>
        <v>1308</v>
      </c>
    </row>
    <row r="40" spans="2:26" x14ac:dyDescent="0.4">
      <c r="E40" t="s">
        <v>206</v>
      </c>
      <c r="F40">
        <f t="shared" si="34"/>
        <v>13112</v>
      </c>
      <c r="G40">
        <f t="shared" ref="G40:W40" si="37">ROUND(F39*(F55+F68),0)</f>
        <v>14634</v>
      </c>
      <c r="H40">
        <f t="shared" si="37"/>
        <v>15663</v>
      </c>
      <c r="I40">
        <f t="shared" si="37"/>
        <v>17453</v>
      </c>
      <c r="J40">
        <f t="shared" si="37"/>
        <v>18151</v>
      </c>
      <c r="K40">
        <f t="shared" si="37"/>
        <v>18773</v>
      </c>
      <c r="L40">
        <f t="shared" si="37"/>
        <v>19160</v>
      </c>
      <c r="M40">
        <f t="shared" si="37"/>
        <v>20617</v>
      </c>
      <c r="N40">
        <f t="shared" si="37"/>
        <v>23385</v>
      </c>
      <c r="O40">
        <f t="shared" si="37"/>
        <v>26965</v>
      </c>
      <c r="P40">
        <f t="shared" si="37"/>
        <v>30199</v>
      </c>
      <c r="Q40">
        <f t="shared" si="37"/>
        <v>26390</v>
      </c>
      <c r="R40">
        <f t="shared" si="37"/>
        <v>25028</v>
      </c>
      <c r="S40">
        <f t="shared" si="37"/>
        <v>24671</v>
      </c>
      <c r="T40">
        <f t="shared" si="37"/>
        <v>28447</v>
      </c>
      <c r="U40">
        <f t="shared" si="37"/>
        <v>30466</v>
      </c>
      <c r="V40">
        <f t="shared" si="37"/>
        <v>22004</v>
      </c>
      <c r="W40">
        <f t="shared" si="37"/>
        <v>17451</v>
      </c>
      <c r="X40">
        <f t="shared" ref="X40:Z40" si="38">ROUND(W39*($W55+$W68),0)</f>
        <v>9607</v>
      </c>
      <c r="Y40">
        <f t="shared" si="38"/>
        <v>4850</v>
      </c>
      <c r="Z40">
        <f t="shared" si="38"/>
        <v>2431</v>
      </c>
    </row>
    <row r="41" spans="2:26" x14ac:dyDescent="0.4">
      <c r="E41" t="s">
        <v>207</v>
      </c>
      <c r="F41">
        <f t="shared" si="34"/>
        <v>12526</v>
      </c>
      <c r="G41">
        <f t="shared" ref="G41:W41" si="39">ROUND(F40*(F56+F69),0)</f>
        <v>13381</v>
      </c>
      <c r="H41">
        <f t="shared" si="39"/>
        <v>14803</v>
      </c>
      <c r="I41">
        <f t="shared" si="39"/>
        <v>16552</v>
      </c>
      <c r="J41">
        <f t="shared" si="39"/>
        <v>17356</v>
      </c>
      <c r="K41">
        <f t="shared" si="39"/>
        <v>17225</v>
      </c>
      <c r="L41">
        <f t="shared" si="39"/>
        <v>18947</v>
      </c>
      <c r="M41">
        <f t="shared" si="39"/>
        <v>19433</v>
      </c>
      <c r="N41">
        <f t="shared" si="39"/>
        <v>20811</v>
      </c>
      <c r="O41">
        <f t="shared" si="39"/>
        <v>23380</v>
      </c>
      <c r="P41">
        <f t="shared" si="39"/>
        <v>26798</v>
      </c>
      <c r="Q41">
        <f t="shared" si="39"/>
        <v>30052</v>
      </c>
      <c r="R41">
        <f t="shared" si="39"/>
        <v>26260</v>
      </c>
      <c r="S41">
        <f t="shared" si="39"/>
        <v>24724</v>
      </c>
      <c r="T41">
        <f t="shared" si="39"/>
        <v>24069</v>
      </c>
      <c r="U41">
        <f t="shared" si="39"/>
        <v>27277</v>
      </c>
      <c r="V41">
        <f t="shared" si="39"/>
        <v>28346</v>
      </c>
      <c r="W41">
        <f t="shared" si="39"/>
        <v>18695</v>
      </c>
      <c r="X41">
        <f t="shared" ref="X41:Z41" si="40">ROUND(W40*($W56+$W69),0)</f>
        <v>10033</v>
      </c>
      <c r="Y41">
        <f t="shared" si="40"/>
        <v>5523</v>
      </c>
      <c r="Z41">
        <f t="shared" si="40"/>
        <v>2788</v>
      </c>
    </row>
    <row r="42" spans="2:26" x14ac:dyDescent="0.4">
      <c r="E42" t="s">
        <v>208</v>
      </c>
      <c r="F42">
        <f t="shared" si="34"/>
        <v>12006</v>
      </c>
      <c r="G42">
        <f t="shared" ref="G42:W42" si="41">ROUND(F41*(F57+F70),0)</f>
        <v>12788</v>
      </c>
      <c r="H42">
        <f t="shared" si="41"/>
        <v>13535</v>
      </c>
      <c r="I42">
        <f t="shared" si="41"/>
        <v>15615</v>
      </c>
      <c r="J42">
        <f t="shared" si="41"/>
        <v>16404</v>
      </c>
      <c r="K42">
        <f t="shared" si="41"/>
        <v>16427</v>
      </c>
      <c r="L42">
        <f t="shared" si="41"/>
        <v>17364</v>
      </c>
      <c r="M42">
        <f t="shared" si="41"/>
        <v>19193</v>
      </c>
      <c r="N42">
        <f t="shared" si="41"/>
        <v>19589</v>
      </c>
      <c r="O42">
        <f t="shared" si="41"/>
        <v>20801</v>
      </c>
      <c r="P42">
        <f t="shared" si="41"/>
        <v>23253</v>
      </c>
      <c r="Q42">
        <f t="shared" si="41"/>
        <v>26691</v>
      </c>
      <c r="R42">
        <f t="shared" si="41"/>
        <v>29913</v>
      </c>
      <c r="S42">
        <f t="shared" si="41"/>
        <v>25956</v>
      </c>
      <c r="T42">
        <f t="shared" si="41"/>
        <v>24149</v>
      </c>
      <c r="U42">
        <f t="shared" si="41"/>
        <v>23149</v>
      </c>
      <c r="V42">
        <f t="shared" si="41"/>
        <v>25428</v>
      </c>
      <c r="W42">
        <f t="shared" si="41"/>
        <v>24501</v>
      </c>
      <c r="X42">
        <f t="shared" ref="X42:Z42" si="42">ROUND(W41*($W57+$W70),0)</f>
        <v>10907</v>
      </c>
      <c r="Y42">
        <f t="shared" si="42"/>
        <v>5853</v>
      </c>
      <c r="Z42">
        <f t="shared" si="42"/>
        <v>3222</v>
      </c>
    </row>
    <row r="43" spans="2:26" x14ac:dyDescent="0.4">
      <c r="E43" t="s">
        <v>209</v>
      </c>
      <c r="F43">
        <f t="shared" si="34"/>
        <v>11338</v>
      </c>
      <c r="G43">
        <f t="shared" ref="G43:W43" si="43">ROUND(F42*(F58+F71),0)</f>
        <v>12259</v>
      </c>
      <c r="H43">
        <f t="shared" si="43"/>
        <v>12935</v>
      </c>
      <c r="I43">
        <f t="shared" si="43"/>
        <v>14246</v>
      </c>
      <c r="J43">
        <f t="shared" si="43"/>
        <v>15440</v>
      </c>
      <c r="K43">
        <f t="shared" si="43"/>
        <v>15522</v>
      </c>
      <c r="L43">
        <f t="shared" si="43"/>
        <v>16520</v>
      </c>
      <c r="M43">
        <f t="shared" si="43"/>
        <v>17572</v>
      </c>
      <c r="N43">
        <f t="shared" si="43"/>
        <v>19361</v>
      </c>
      <c r="O43">
        <f t="shared" si="43"/>
        <v>19565</v>
      </c>
      <c r="P43">
        <f t="shared" si="43"/>
        <v>20688</v>
      </c>
      <c r="Q43">
        <f t="shared" si="43"/>
        <v>23171</v>
      </c>
      <c r="R43">
        <f t="shared" si="43"/>
        <v>26591</v>
      </c>
      <c r="S43">
        <f t="shared" si="43"/>
        <v>29577</v>
      </c>
      <c r="T43">
        <f t="shared" si="43"/>
        <v>25379</v>
      </c>
      <c r="U43">
        <f t="shared" si="43"/>
        <v>23273</v>
      </c>
      <c r="V43">
        <f t="shared" si="43"/>
        <v>21711</v>
      </c>
      <c r="W43">
        <f t="shared" si="43"/>
        <v>22057</v>
      </c>
      <c r="X43">
        <f t="shared" ref="X43:Z43" si="44">ROUND(W42*($W58+$W71),0)</f>
        <v>14778</v>
      </c>
      <c r="Y43">
        <f t="shared" si="44"/>
        <v>6578</v>
      </c>
      <c r="Z43">
        <f t="shared" si="44"/>
        <v>3530</v>
      </c>
    </row>
    <row r="44" spans="2:26" x14ac:dyDescent="0.4">
      <c r="E44" t="s">
        <v>258</v>
      </c>
      <c r="F44">
        <f t="shared" si="34"/>
        <v>10618</v>
      </c>
      <c r="G44">
        <f t="shared" ref="G44:W44" si="45">ROUND(F43*(F59+F72),0)</f>
        <v>11581</v>
      </c>
      <c r="H44">
        <f t="shared" si="45"/>
        <v>12398</v>
      </c>
      <c r="I44">
        <f t="shared" si="45"/>
        <v>13582</v>
      </c>
      <c r="J44">
        <f t="shared" si="45"/>
        <v>14039</v>
      </c>
      <c r="K44">
        <f t="shared" si="45"/>
        <v>14611</v>
      </c>
      <c r="L44">
        <f t="shared" si="45"/>
        <v>15613</v>
      </c>
      <c r="M44">
        <f t="shared" si="45"/>
        <v>16692</v>
      </c>
      <c r="N44">
        <f t="shared" si="45"/>
        <v>17738</v>
      </c>
      <c r="O44">
        <f t="shared" si="45"/>
        <v>19346</v>
      </c>
      <c r="P44">
        <f t="shared" si="45"/>
        <v>19456</v>
      </c>
      <c r="Q44">
        <f t="shared" si="45"/>
        <v>20626</v>
      </c>
      <c r="R44">
        <f t="shared" si="45"/>
        <v>23097</v>
      </c>
      <c r="S44">
        <f t="shared" si="45"/>
        <v>26308</v>
      </c>
      <c r="T44">
        <f t="shared" si="45"/>
        <v>28928</v>
      </c>
      <c r="U44">
        <f t="shared" si="45"/>
        <v>24501</v>
      </c>
      <c r="V44">
        <f t="shared" si="45"/>
        <v>21920</v>
      </c>
      <c r="W44">
        <f t="shared" si="45"/>
        <v>19047</v>
      </c>
      <c r="X44">
        <f t="shared" ref="X44:Y44" si="46">ROUND(W43*($W59+$W72),0)</f>
        <v>12946</v>
      </c>
      <c r="Y44">
        <f t="shared" si="46"/>
        <v>8674</v>
      </c>
      <c r="Z44">
        <f>ROUND(Y43*($W59+$W72),0)</f>
        <v>3861</v>
      </c>
    </row>
    <row r="47" spans="2:26" x14ac:dyDescent="0.4">
      <c r="F47" t="s">
        <v>238</v>
      </c>
      <c r="G47" t="s">
        <v>239</v>
      </c>
      <c r="H47" t="s">
        <v>240</v>
      </c>
      <c r="I47" t="s">
        <v>241</v>
      </c>
      <c r="J47" t="s">
        <v>242</v>
      </c>
      <c r="K47" t="s">
        <v>243</v>
      </c>
      <c r="L47" t="s">
        <v>244</v>
      </c>
      <c r="M47" t="s">
        <v>245</v>
      </c>
      <c r="N47" t="s">
        <v>246</v>
      </c>
      <c r="O47" t="s">
        <v>247</v>
      </c>
      <c r="P47" t="s">
        <v>248</v>
      </c>
      <c r="Q47" t="s">
        <v>249</v>
      </c>
      <c r="R47" t="s">
        <v>250</v>
      </c>
      <c r="S47" t="s">
        <v>251</v>
      </c>
      <c r="T47" t="s">
        <v>252</v>
      </c>
      <c r="U47" t="s">
        <v>253</v>
      </c>
      <c r="V47" t="s">
        <v>254</v>
      </c>
      <c r="W47" t="s">
        <v>255</v>
      </c>
    </row>
    <row r="48" spans="2:26" x14ac:dyDescent="0.4">
      <c r="B48" t="s">
        <v>225</v>
      </c>
      <c r="C48" t="s">
        <v>256</v>
      </c>
      <c r="D48" t="str">
        <f>$D$8</f>
        <v>新潟市</v>
      </c>
      <c r="E48" t="s">
        <v>232</v>
      </c>
      <c r="F48" cm="1">
        <f t="array" ref="F48">_xlfn.XLOOKUP($D$48&amp;$E$48,[2]Sheet1!$D$4343:$D$4528&amp;[2]Sheet1!$E$4343:$E$4528,[2]Sheet1!$F$4343:$F$4528)</f>
        <v>0.99922999999999995</v>
      </c>
      <c r="G48" cm="1">
        <f t="array" ref="G48">_xlfn.XLOOKUP($D$48&amp;$E$48,[2]Sheet1!$D$4343:$D$4528&amp;[2]Sheet1!$E$4343:$E$4528,[2]Sheet1!$G$4343:$G$4528)</f>
        <v>0.99951000000000001</v>
      </c>
      <c r="H48" cm="1">
        <f t="array" ref="H48">_xlfn.XLOOKUP($D$48&amp;$E$48,[2]Sheet1!$D$4343:$D$4528&amp;[2]Sheet1!$E$4343:$E$4528,[2]Sheet1!$H$4343:$H$4528)</f>
        <v>0.99890999999999996</v>
      </c>
      <c r="I48" cm="1">
        <f t="array" ref="I48">_xlfn.XLOOKUP($D$48&amp;$E$48,[2]Sheet1!$D$4343:$D$4528&amp;[2]Sheet1!$E$4343:$E$4528,[2]Sheet1!$I$4343:$I$4528)</f>
        <v>0.99744999999999995</v>
      </c>
      <c r="J48" cm="1">
        <f t="array" ref="J48">_xlfn.XLOOKUP($D$48&amp;$E$48,[2]Sheet1!$D$4343:$D$4528&amp;[2]Sheet1!$E$4343:$E$4528,[2]Sheet1!$J$4343:$J$4528)</f>
        <v>0.99673</v>
      </c>
      <c r="K48" cm="1">
        <f t="array" ref="K48">_xlfn.XLOOKUP($D$48&amp;$E$48,[2]Sheet1!$D$4343:$D$4528&amp;[2]Sheet1!$E$4343:$E$4528,[2]Sheet1!$K$4343:$K$4528)</f>
        <v>0.99668999999999996</v>
      </c>
      <c r="L48" cm="1">
        <f t="array" ref="L48">_xlfn.XLOOKUP($D$48&amp;$E$48,[2]Sheet1!$D$4343:$D$4528&amp;[2]Sheet1!$E$4343:$E$4528,[2]Sheet1!$L$4343:$L$4528)</f>
        <v>0.99589000000000005</v>
      </c>
      <c r="M48" cm="1">
        <f t="array" ref="M48">_xlfn.XLOOKUP($D$48&amp;$E$48,[2]Sheet1!$D$4343:$D$4528&amp;[2]Sheet1!$E$4343:$E$4528,[2]Sheet1!$M$4343:$M$4528)</f>
        <v>0.99428000000000005</v>
      </c>
      <c r="N48" cm="1">
        <f t="array" ref="N48">_xlfn.XLOOKUP($D$48&amp;$E$48,[2]Sheet1!$D$4343:$D$4528&amp;[2]Sheet1!$E$4343:$E$4528,[2]Sheet1!$N$4343:$N$4528)</f>
        <v>0.99145000000000005</v>
      </c>
      <c r="O48" cm="1">
        <f t="array" ref="O48">_xlfn.XLOOKUP($D$48&amp;$E$48,[2]Sheet1!$D$4343:$D$4528&amp;[2]Sheet1!$E$4343:$E$4528,[2]Sheet1!$O$4343:$O$4528)</f>
        <v>0.98650000000000004</v>
      </c>
      <c r="P48" cm="1">
        <f t="array" ref="P48">_xlfn.XLOOKUP($D$48&amp;$E$48,[2]Sheet1!$D$4343:$D$4528&amp;[2]Sheet1!$E$4343:$E$4528,[2]Sheet1!$P$4343:$P$4528)</f>
        <v>0.97901000000000005</v>
      </c>
      <c r="Q48" cm="1">
        <f t="array" ref="Q48">_xlfn.XLOOKUP($D$48&amp;$E$48,[2]Sheet1!$D$4343:$D$4528&amp;[2]Sheet1!$E$4343:$E$4528,[2]Sheet1!$Q$4343:$Q$4528)</f>
        <v>0.96877000000000002</v>
      </c>
      <c r="R48" cm="1">
        <f t="array" ref="R48">_xlfn.XLOOKUP($D$48&amp;$E$48,[2]Sheet1!$D$4343:$D$4528&amp;[2]Sheet1!$E$4343:$E$4528,[2]Sheet1!$R$4343:$R$4528)</f>
        <v>0.95043</v>
      </c>
      <c r="S48" cm="1">
        <f t="array" ref="S48">_xlfn.XLOOKUP($D$48&amp;$E$48,[2]Sheet1!$D$4343:$D$4528&amp;[2]Sheet1!$E$4343:$E$4528,[2]Sheet1!$S$4343:$S$4528)</f>
        <v>0.92413000000000001</v>
      </c>
      <c r="T48" cm="1">
        <f t="array" ref="T48">_xlfn.XLOOKUP($D$48&amp;$E$48,[2]Sheet1!$D$4343:$D$4528&amp;[2]Sheet1!$E$4343:$E$4528,[2]Sheet1!$T$4343:$T$4528)</f>
        <v>0.88317000000000001</v>
      </c>
      <c r="U48" cm="1">
        <f t="array" ref="U48">_xlfn.XLOOKUP($D$48&amp;$E$48,[2]Sheet1!$D$4343:$D$4528&amp;[2]Sheet1!$E$4343:$E$4528,[2]Sheet1!$U$4343:$U$4528)</f>
        <v>0.79795000000000005</v>
      </c>
      <c r="V48" cm="1">
        <f t="array" ref="V48">_xlfn.XLOOKUP($D$48&amp;$E$48,[2]Sheet1!$D$4343:$D$4528&amp;[2]Sheet1!$E$4343:$E$4528,[2]Sheet1!$V$4343:$V$4528)</f>
        <v>0.66269</v>
      </c>
      <c r="W48" cm="1">
        <f t="array" ref="W48">_xlfn.XLOOKUP($D$48&amp;$E$48,[2]Sheet1!$D$4343:$D$4528&amp;[2]Sheet1!$E$4343:$E$4528,[2]Sheet1!$W$4343:$W$4528)</f>
        <v>0.40822999999999998</v>
      </c>
    </row>
    <row r="49" spans="2:23" x14ac:dyDescent="0.4">
      <c r="E49" t="s">
        <v>233</v>
      </c>
      <c r="F49" cm="1">
        <f t="array" ref="F49">_xlfn.XLOOKUP($D$48&amp;$E$49,[2]Sheet1!$D$4343:$D$4528&amp;[2]Sheet1!$E$4343:$E$4528,[2]Sheet1!$F$4343:$F$4528)</f>
        <v>0.99931999999999999</v>
      </c>
      <c r="G49" cm="1">
        <f t="array" ref="G49">_xlfn.XLOOKUP($D$48&amp;$E$49,[2]Sheet1!$D$4343:$D$4528&amp;[2]Sheet1!$E$4343:$E$4528,[2]Sheet1!$G$4343:$G$4528)</f>
        <v>0.99955000000000005</v>
      </c>
      <c r="H49" cm="1">
        <f t="array" ref="H49">_xlfn.XLOOKUP($D$48&amp;$E$49,[2]Sheet1!$D$4343:$D$4528&amp;[2]Sheet1!$E$4343:$E$4528,[2]Sheet1!$H$4343:$H$4528)</f>
        <v>0.999</v>
      </c>
      <c r="I49" cm="1">
        <f t="array" ref="I49">_xlfn.XLOOKUP($D$48&amp;$E$49,[2]Sheet1!$D$4343:$D$4528&amp;[2]Sheet1!$E$4343:$E$4528,[2]Sheet1!$I$4343:$I$4528)</f>
        <v>0.99761999999999995</v>
      </c>
      <c r="J49" cm="1">
        <f t="array" ref="J49">_xlfn.XLOOKUP($D$48&amp;$E$49,[2]Sheet1!$D$4343:$D$4528&amp;[2]Sheet1!$E$4343:$E$4528,[2]Sheet1!$J$4343:$J$4528)</f>
        <v>0.99687000000000003</v>
      </c>
      <c r="K49" cm="1">
        <f t="array" ref="K49">_xlfn.XLOOKUP($D$48&amp;$E$49,[2]Sheet1!$D$4343:$D$4528&amp;[2]Sheet1!$E$4343:$E$4528,[2]Sheet1!$K$4343:$K$4528)</f>
        <v>0.99683999999999995</v>
      </c>
      <c r="L49" cm="1">
        <f t="array" ref="L49">_xlfn.XLOOKUP($D$48&amp;$E$49,[2]Sheet1!$D$4343:$D$4528&amp;[2]Sheet1!$E$4343:$E$4528,[2]Sheet1!$L$4343:$L$4528)</f>
        <v>0.99612000000000001</v>
      </c>
      <c r="M49" cm="1">
        <f t="array" ref="M49">_xlfn.XLOOKUP($D$48&amp;$E$49,[2]Sheet1!$D$4343:$D$4528&amp;[2]Sheet1!$E$4343:$E$4528,[2]Sheet1!$M$4343:$M$4528)</f>
        <v>0.99460999999999999</v>
      </c>
      <c r="N49" cm="1">
        <f t="array" ref="N49">_xlfn.XLOOKUP($D$48&amp;$E$49,[2]Sheet1!$D$4343:$D$4528&amp;[2]Sheet1!$E$4343:$E$4528,[2]Sheet1!$N$4343:$N$4528)</f>
        <v>0.99194000000000004</v>
      </c>
      <c r="O49" cm="1">
        <f t="array" ref="O49">_xlfn.XLOOKUP($D$48&amp;$E$49,[2]Sheet1!$D$4343:$D$4528&amp;[2]Sheet1!$E$4343:$E$4528,[2]Sheet1!$O$4343:$O$4528)</f>
        <v>0.98726999999999998</v>
      </c>
      <c r="P49" cm="1">
        <f t="array" ref="P49">_xlfn.XLOOKUP($D$48&amp;$E$49,[2]Sheet1!$D$4343:$D$4528&amp;[2]Sheet1!$E$4343:$E$4528,[2]Sheet1!$P$4343:$P$4528)</f>
        <v>0.98016000000000003</v>
      </c>
      <c r="Q49" cm="1">
        <f t="array" ref="Q49">_xlfn.XLOOKUP($D$48&amp;$E$49,[2]Sheet1!$D$4343:$D$4528&amp;[2]Sheet1!$E$4343:$E$4528,[2]Sheet1!$Q$4343:$Q$4528)</f>
        <v>0.97045000000000003</v>
      </c>
      <c r="R49" cm="1">
        <f t="array" ref="R49">_xlfn.XLOOKUP($D$48&amp;$E$49,[2]Sheet1!$D$4343:$D$4528&amp;[2]Sheet1!$E$4343:$E$4528,[2]Sheet1!$R$4343:$R$4528)</f>
        <v>0.95281000000000005</v>
      </c>
      <c r="S49" cm="1">
        <f t="array" ref="S49">_xlfn.XLOOKUP($D$48&amp;$E$49,[2]Sheet1!$D$4343:$D$4528&amp;[2]Sheet1!$E$4343:$E$4528,[2]Sheet1!$S$4343:$S$4528)</f>
        <v>0.92764999999999997</v>
      </c>
      <c r="T49" cm="1">
        <f t="array" ref="T49">_xlfn.XLOOKUP($D$48&amp;$E$49,[2]Sheet1!$D$4343:$D$4528&amp;[2]Sheet1!$E$4343:$E$4528,[2]Sheet1!$T$4343:$T$4528)</f>
        <v>0.88912000000000002</v>
      </c>
      <c r="U49" cm="1">
        <f t="array" ref="U49">_xlfn.XLOOKUP($D$48&amp;$E$49,[2]Sheet1!$D$4343:$D$4528&amp;[2]Sheet1!$E$4343:$E$4528,[2]Sheet1!$U$4343:$U$4528)</f>
        <v>0.80915999999999999</v>
      </c>
      <c r="V49" cm="1">
        <f t="array" ref="V49">_xlfn.XLOOKUP($D$48&amp;$E$49,[2]Sheet1!$D$4343:$D$4528&amp;[2]Sheet1!$E$4343:$E$4528,[2]Sheet1!$V$4343:$V$4528)</f>
        <v>0.67886000000000002</v>
      </c>
      <c r="W49" cm="1">
        <f t="array" ref="W49">_xlfn.XLOOKUP($D$48&amp;$E$49,[2]Sheet1!$D$4343:$D$4528&amp;[2]Sheet1!$E$4343:$E$4528,[2]Sheet1!$W$4343:$W$4528)</f>
        <v>0.42147000000000001</v>
      </c>
    </row>
    <row r="50" spans="2:23" x14ac:dyDescent="0.4">
      <c r="E50" t="s">
        <v>234</v>
      </c>
      <c r="F50" cm="1">
        <f t="array" ref="F50">_xlfn.XLOOKUP($D$48&amp;$E$50,[2]Sheet1!$D$4343:$D$4528&amp;[2]Sheet1!$E$4343:$E$4528,[2]Sheet1!$F$4343:$F$4528)</f>
        <v>0.99939</v>
      </c>
      <c r="G50" cm="1">
        <f t="array" ref="G50">_xlfn.XLOOKUP($D$48&amp;$E$50,[2]Sheet1!$D$4343:$D$4528&amp;[2]Sheet1!$E$4343:$E$4528,[2]Sheet1!$G$4343:$G$4528)</f>
        <v>0.99958999999999998</v>
      </c>
      <c r="H50" cm="1">
        <f t="array" ref="H50">_xlfn.XLOOKUP($D$48&amp;$E$50,[2]Sheet1!$D$4343:$D$4528&amp;[2]Sheet1!$E$4343:$E$4528,[2]Sheet1!$H$4343:$H$4528)</f>
        <v>0.99909000000000003</v>
      </c>
      <c r="I50" cm="1">
        <f t="array" ref="I50">_xlfn.XLOOKUP($D$48&amp;$E$50,[2]Sheet1!$D$4343:$D$4528&amp;[2]Sheet1!$E$4343:$E$4528,[2]Sheet1!$I$4343:$I$4528)</f>
        <v>0.99778</v>
      </c>
      <c r="J50" cm="1">
        <f t="array" ref="J50">_xlfn.XLOOKUP($D$48&amp;$E$50,[2]Sheet1!$D$4343:$D$4528&amp;[2]Sheet1!$E$4343:$E$4528,[2]Sheet1!$J$4343:$J$4528)</f>
        <v>0.99700999999999995</v>
      </c>
      <c r="K50" cm="1">
        <f t="array" ref="K50">_xlfn.XLOOKUP($D$48&amp;$E$50,[2]Sheet1!$D$4343:$D$4528&amp;[2]Sheet1!$E$4343:$E$4528,[2]Sheet1!$K$4343:$K$4528)</f>
        <v>0.99697999999999998</v>
      </c>
      <c r="L50" cm="1">
        <f t="array" ref="L50">_xlfn.XLOOKUP($D$48&amp;$E$50,[2]Sheet1!$D$4343:$D$4528&amp;[2]Sheet1!$E$4343:$E$4528,[2]Sheet1!$L$4343:$L$4528)</f>
        <v>0.99633000000000005</v>
      </c>
      <c r="M50" cm="1">
        <f t="array" ref="M50">_xlfn.XLOOKUP($D$48&amp;$E$50,[2]Sheet1!$D$4343:$D$4528&amp;[2]Sheet1!$E$4343:$E$4528,[2]Sheet1!$M$4343:$M$4528)</f>
        <v>0.99492000000000003</v>
      </c>
      <c r="N50" cm="1">
        <f t="array" ref="N50">_xlfn.XLOOKUP($D$48&amp;$E$50,[2]Sheet1!$D$4343:$D$4528&amp;[2]Sheet1!$E$4343:$E$4528,[2]Sheet1!$N$4343:$N$4528)</f>
        <v>0.99238999999999999</v>
      </c>
      <c r="O50" cm="1">
        <f t="array" ref="O50">_xlfn.XLOOKUP($D$48&amp;$E$50,[2]Sheet1!$D$4343:$D$4528&amp;[2]Sheet1!$E$4343:$E$4528,[2]Sheet1!$O$4343:$O$4528)</f>
        <v>0.98797000000000001</v>
      </c>
      <c r="P50" cm="1">
        <f t="array" ref="P50">_xlfn.XLOOKUP($D$48&amp;$E$50,[2]Sheet1!$D$4343:$D$4528&amp;[2]Sheet1!$E$4343:$E$4528,[2]Sheet1!$P$4343:$P$4528)</f>
        <v>0.98119999999999996</v>
      </c>
      <c r="Q50" cm="1">
        <f t="array" ref="Q50">_xlfn.XLOOKUP($D$48&amp;$E$50,[2]Sheet1!$D$4343:$D$4528&amp;[2]Sheet1!$E$4343:$E$4528,[2]Sheet1!$Q$4343:$Q$4528)</f>
        <v>0.97192999999999996</v>
      </c>
      <c r="R50" cm="1">
        <f t="array" ref="R50">_xlfn.XLOOKUP($D$48&amp;$E$50,[2]Sheet1!$D$4343:$D$4528&amp;[2]Sheet1!$E$4343:$E$4528,[2]Sheet1!$R$4343:$R$4528)</f>
        <v>0.95491999999999999</v>
      </c>
      <c r="S50" cm="1">
        <f t="array" ref="S50">_xlfn.XLOOKUP($D$48&amp;$E$50,[2]Sheet1!$D$4343:$D$4528&amp;[2]Sheet1!$E$4343:$E$4528,[2]Sheet1!$S$4343:$S$4528)</f>
        <v>0.93071999999999999</v>
      </c>
      <c r="T50" cm="1">
        <f t="array" ref="T50">_xlfn.XLOOKUP($D$48&amp;$E$50,[2]Sheet1!$D$4343:$D$4528&amp;[2]Sheet1!$E$4343:$E$4528,[2]Sheet1!$T$4343:$T$4528)</f>
        <v>0.89409000000000005</v>
      </c>
      <c r="U50" cm="1">
        <f t="array" ref="U50">_xlfn.XLOOKUP($D$48&amp;$E$50,[2]Sheet1!$D$4343:$D$4528&amp;[2]Sheet1!$E$4343:$E$4528,[2]Sheet1!$U$4343:$U$4528)</f>
        <v>0.81896999999999998</v>
      </c>
      <c r="V50" cm="1">
        <f t="array" ref="V50">_xlfn.XLOOKUP($D$48&amp;$E$50,[2]Sheet1!$D$4343:$D$4528&amp;[2]Sheet1!$E$4343:$E$4528,[2]Sheet1!$V$4343:$V$4528)</f>
        <v>0.69345000000000001</v>
      </c>
      <c r="W50" cm="1">
        <f t="array" ref="W50">_xlfn.XLOOKUP($D$48&amp;$E$50,[2]Sheet1!$D$4343:$D$4528&amp;[2]Sheet1!$E$4343:$E$4528,[2]Sheet1!$W$4343:$W$4528)</f>
        <v>0.43340000000000001</v>
      </c>
    </row>
    <row r="51" spans="2:23" x14ac:dyDescent="0.4">
      <c r="E51" t="s">
        <v>235</v>
      </c>
      <c r="F51" cm="1">
        <f t="array" ref="F51">_xlfn.XLOOKUP($D$48&amp;$E$51,[2]Sheet1!$D$4343:$D$4528&amp;[2]Sheet1!$E$4343:$E$4528,[2]Sheet1!$F$4343:$F$4528)</f>
        <v>0.99944999999999995</v>
      </c>
      <c r="G51" cm="1">
        <f t="array" ref="G51">_xlfn.XLOOKUP($D$48&amp;$E$51,[2]Sheet1!$D$4343:$D$4528&amp;[2]Sheet1!$E$4343:$E$4528,[2]Sheet1!$G$4343:$G$4528)</f>
        <v>0.99963000000000002</v>
      </c>
      <c r="H51" cm="1">
        <f t="array" ref="H51">_xlfn.XLOOKUP($D$48&amp;$E$51,[2]Sheet1!$D$4343:$D$4528&amp;[2]Sheet1!$E$4343:$E$4528,[2]Sheet1!$H$4343:$H$4528)</f>
        <v>0.99917</v>
      </c>
      <c r="I51" cm="1">
        <f t="array" ref="I51">_xlfn.XLOOKUP($D$48&amp;$E$51,[2]Sheet1!$D$4343:$D$4528&amp;[2]Sheet1!$E$4343:$E$4528,[2]Sheet1!$I$4343:$I$4528)</f>
        <v>0.99792000000000003</v>
      </c>
      <c r="J51" cm="1">
        <f t="array" ref="J51">_xlfn.XLOOKUP($D$48&amp;$E$51,[2]Sheet1!$D$4343:$D$4528&amp;[2]Sheet1!$E$4343:$E$4528,[2]Sheet1!$J$4343:$J$4528)</f>
        <v>0.99714000000000003</v>
      </c>
      <c r="K51" cm="1">
        <f t="array" ref="K51">_xlfn.XLOOKUP($D$48&amp;$E$51,[2]Sheet1!$D$4343:$D$4528&amp;[2]Sheet1!$E$4343:$E$4528,[2]Sheet1!$K$4343:$K$4528)</f>
        <v>0.99711000000000005</v>
      </c>
      <c r="L51" cm="1">
        <f t="array" ref="L51">_xlfn.XLOOKUP($D$48&amp;$E$51,[2]Sheet1!$D$4343:$D$4528&amp;[2]Sheet1!$E$4343:$E$4528,[2]Sheet1!$L$4343:$L$4528)</f>
        <v>0.99651999999999996</v>
      </c>
      <c r="M51" cm="1">
        <f t="array" ref="M51">_xlfn.XLOOKUP($D$48&amp;$E$51,[2]Sheet1!$D$4343:$D$4528&amp;[2]Sheet1!$E$4343:$E$4528,[2]Sheet1!$M$4343:$M$4528)</f>
        <v>0.99519000000000002</v>
      </c>
      <c r="N51" cm="1">
        <f t="array" ref="N51">_xlfn.XLOOKUP($D$48&amp;$E$51,[2]Sheet1!$D$4343:$D$4528&amp;[2]Sheet1!$E$4343:$E$4528,[2]Sheet1!$N$4343:$N$4528)</f>
        <v>0.99278999999999995</v>
      </c>
      <c r="O51" cm="1">
        <f t="array" ref="O51">_xlfn.XLOOKUP($D$48&amp;$E$51,[2]Sheet1!$D$4343:$D$4528&amp;[2]Sheet1!$E$4343:$E$4528,[2]Sheet1!$O$4343:$O$4528)</f>
        <v>0.98858999999999997</v>
      </c>
      <c r="P51" cm="1">
        <f t="array" ref="P51">_xlfn.XLOOKUP($D$48&amp;$E$51,[2]Sheet1!$D$4343:$D$4528&amp;[2]Sheet1!$E$4343:$E$4528,[2]Sheet1!$P$4343:$P$4528)</f>
        <v>0.98211999999999999</v>
      </c>
      <c r="Q51" cm="1">
        <f t="array" ref="Q51">_xlfn.XLOOKUP($D$48&amp;$E$51,[2]Sheet1!$D$4343:$D$4528&amp;[2]Sheet1!$E$4343:$E$4528,[2]Sheet1!$Q$4343:$Q$4528)</f>
        <v>0.97321000000000002</v>
      </c>
      <c r="R51" cm="1">
        <f t="array" ref="R51">_xlfn.XLOOKUP($D$48&amp;$E$51,[2]Sheet1!$D$4343:$D$4528&amp;[2]Sheet1!$E$4343:$E$4528,[2]Sheet1!$R$4343:$R$4528)</f>
        <v>0.95676000000000005</v>
      </c>
      <c r="S51" cm="1">
        <f t="array" ref="S51">_xlfn.XLOOKUP($D$48&amp;$E$51,[2]Sheet1!$D$4343:$D$4528&amp;[2]Sheet1!$E$4343:$E$4528,[2]Sheet1!$S$4343:$S$4528)</f>
        <v>0.93342999999999998</v>
      </c>
      <c r="T51" cm="1">
        <f t="array" ref="T51">_xlfn.XLOOKUP($D$48&amp;$E$51,[2]Sheet1!$D$4343:$D$4528&amp;[2]Sheet1!$E$4343:$E$4528,[2]Sheet1!$T$4343:$T$4528)</f>
        <v>0.89836000000000005</v>
      </c>
      <c r="U51" cm="1">
        <f t="array" ref="U51">_xlfn.XLOOKUP($D$48&amp;$E$51,[2]Sheet1!$D$4343:$D$4528&amp;[2]Sheet1!$E$4343:$E$4528,[2]Sheet1!$U$4343:$U$4528)</f>
        <v>0.82759000000000005</v>
      </c>
      <c r="V51" cm="1">
        <f t="array" ref="V51">_xlfn.XLOOKUP($D$48&amp;$E$51,[2]Sheet1!$D$4343:$D$4528&amp;[2]Sheet1!$E$4343:$E$4528,[2]Sheet1!$V$4343:$V$4528)</f>
        <v>0.70667999999999997</v>
      </c>
      <c r="W51" cm="1">
        <f t="array" ref="W51">_xlfn.XLOOKUP($D$48&amp;$E$51,[2]Sheet1!$D$4343:$D$4528&amp;[2]Sheet1!$E$4343:$E$4528,[2]Sheet1!$W$4343:$W$4528)</f>
        <v>0.44436999999999999</v>
      </c>
    </row>
    <row r="52" spans="2:23" x14ac:dyDescent="0.4">
      <c r="E52" t="s">
        <v>236</v>
      </c>
      <c r="F52" cm="1">
        <f t="array" ref="F52">_xlfn.XLOOKUP($D$48&amp;$E$52,[2]Sheet1!$D$4343:$D$4528&amp;[2]Sheet1!$E$4343:$E$4528,[2]Sheet1!$F$4343:$F$4528)</f>
        <v>0.99950000000000006</v>
      </c>
      <c r="G52" cm="1">
        <f t="array" ref="G52">_xlfn.XLOOKUP($D$48&amp;$E$52,[2]Sheet1!$D$4343:$D$4528&amp;[2]Sheet1!$E$4343:$E$4528,[2]Sheet1!$G$4343:$G$4528)</f>
        <v>0.99965999999999999</v>
      </c>
      <c r="H52" cm="1">
        <f t="array" ref="H52">_xlfn.XLOOKUP($D$48&amp;$E$52,[2]Sheet1!$D$4343:$D$4528&amp;[2]Sheet1!$E$4343:$E$4528,[2]Sheet1!$H$4343:$H$4528)</f>
        <v>0.99924000000000002</v>
      </c>
      <c r="I52" cm="1">
        <f t="array" ref="I52">_xlfn.XLOOKUP($D$48&amp;$E$52,[2]Sheet1!$D$4343:$D$4528&amp;[2]Sheet1!$E$4343:$E$4528,[2]Sheet1!$I$4343:$I$4528)</f>
        <v>0.99804999999999999</v>
      </c>
      <c r="J52" cm="1">
        <f t="array" ref="J52">_xlfn.XLOOKUP($D$48&amp;$E$52,[2]Sheet1!$D$4343:$D$4528&amp;[2]Sheet1!$E$4343:$E$4528,[2]Sheet1!$J$4343:$J$4528)</f>
        <v>0.99726000000000004</v>
      </c>
      <c r="K52" cm="1">
        <f t="array" ref="K52">_xlfn.XLOOKUP($D$48&amp;$E$52,[2]Sheet1!$D$4343:$D$4528&amp;[2]Sheet1!$E$4343:$E$4528,[2]Sheet1!$K$4343:$K$4528)</f>
        <v>0.99724000000000002</v>
      </c>
      <c r="L52" cm="1">
        <f t="array" ref="L52">_xlfn.XLOOKUP($D$48&amp;$E$52,[2]Sheet1!$D$4343:$D$4528&amp;[2]Sheet1!$E$4343:$E$4528,[2]Sheet1!$L$4343:$L$4528)</f>
        <v>0.99668999999999996</v>
      </c>
      <c r="M52" cm="1">
        <f t="array" ref="M52">_xlfn.XLOOKUP($D$48&amp;$E$52,[2]Sheet1!$D$4343:$D$4528&amp;[2]Sheet1!$E$4343:$E$4528,[2]Sheet1!$M$4343:$M$4528)</f>
        <v>0.99543999999999999</v>
      </c>
      <c r="N52" cm="1">
        <f t="array" ref="N52">_xlfn.XLOOKUP($D$48&amp;$E$52,[2]Sheet1!$D$4343:$D$4528&amp;[2]Sheet1!$E$4343:$E$4528,[2]Sheet1!$N$4343:$N$4528)</f>
        <v>0.99314999999999998</v>
      </c>
      <c r="O52" cm="1">
        <f t="array" ref="O52">_xlfn.XLOOKUP($D$48&amp;$E$52,[2]Sheet1!$D$4343:$D$4528&amp;[2]Sheet1!$E$4343:$E$4528,[2]Sheet1!$O$4343:$O$4528)</f>
        <v>0.98914000000000002</v>
      </c>
      <c r="P52" cm="1">
        <f t="array" ref="P52">_xlfn.XLOOKUP($D$48&amp;$E$52,[2]Sheet1!$D$4343:$D$4528&amp;[2]Sheet1!$E$4343:$E$4528,[2]Sheet1!$P$4343:$P$4528)</f>
        <v>0.98294000000000004</v>
      </c>
      <c r="Q52" cm="1">
        <f t="array" ref="Q52">_xlfn.XLOOKUP($D$48&amp;$E$52,[2]Sheet1!$D$4343:$D$4528&amp;[2]Sheet1!$E$4343:$E$4528,[2]Sheet1!$Q$4343:$Q$4528)</f>
        <v>0.97431999999999996</v>
      </c>
      <c r="R52" cm="1">
        <f t="array" ref="R52">_xlfn.XLOOKUP($D$48&amp;$E$52,[2]Sheet1!$D$4343:$D$4528&amp;[2]Sheet1!$E$4343:$E$4528,[2]Sheet1!$R$4343:$R$4528)</f>
        <v>0.95837000000000006</v>
      </c>
      <c r="S52" cm="1">
        <f t="array" ref="S52">_xlfn.XLOOKUP($D$48&amp;$E$52,[2]Sheet1!$D$4343:$D$4528&amp;[2]Sheet1!$E$4343:$E$4528,[2]Sheet1!$S$4343:$S$4528)</f>
        <v>0.93584000000000001</v>
      </c>
      <c r="T52" cm="1">
        <f t="array" ref="T52">_xlfn.XLOOKUP($D$48&amp;$E$52,[2]Sheet1!$D$4343:$D$4528&amp;[2]Sheet1!$E$4343:$E$4528,[2]Sheet1!$T$4343:$T$4528)</f>
        <v>0.90208999999999995</v>
      </c>
      <c r="U52" cm="1">
        <f t="array" ref="U52">_xlfn.XLOOKUP($D$48&amp;$E$52,[2]Sheet1!$D$4343:$D$4528&amp;[2]Sheet1!$E$4343:$E$4528,[2]Sheet1!$U$4343:$U$4528)</f>
        <v>0.83520000000000005</v>
      </c>
      <c r="V52" cm="1">
        <f t="array" ref="V52">_xlfn.XLOOKUP($D$48&amp;$E$52,[2]Sheet1!$D$4343:$D$4528&amp;[2]Sheet1!$E$4343:$E$4528,[2]Sheet1!$V$4343:$V$4528)</f>
        <v>0.71870999999999996</v>
      </c>
      <c r="W52" cm="1">
        <f t="array" ref="W52">_xlfn.XLOOKUP($D$48&amp;$E$52,[2]Sheet1!$D$4343:$D$4528&amp;[2]Sheet1!$E$4343:$E$4528,[2]Sheet1!$W$4343:$W$4528)</f>
        <v>0.45450000000000002</v>
      </c>
    </row>
    <row r="53" spans="2:23" x14ac:dyDescent="0.4">
      <c r="E53" t="s">
        <v>237</v>
      </c>
      <c r="F53" cm="1">
        <f t="array" ref="F53">_xlfn.XLOOKUP($D$48&amp;$E$53,[2]Sheet1!$D$4343:$D$4528&amp;[2]Sheet1!$E$4343:$E$4528,[2]Sheet1!$F$4343:$F$4528)</f>
        <v>0.99953999999999998</v>
      </c>
      <c r="G53" cm="1">
        <f t="array" ref="G53">_xlfn.XLOOKUP($D$48&amp;$E$53,[2]Sheet1!$D$4343:$D$4528&amp;[2]Sheet1!$E$4343:$E$4528,[2]Sheet1!$G$4343:$G$4528)</f>
        <v>0.99970000000000003</v>
      </c>
      <c r="H53" cm="1">
        <f t="array" ref="H53">_xlfn.XLOOKUP($D$48&amp;$E$53,[2]Sheet1!$D$4343:$D$4528&amp;[2]Sheet1!$E$4343:$E$4528,[2]Sheet1!$H$4343:$H$4528)</f>
        <v>0.99929999999999997</v>
      </c>
      <c r="I53" cm="1">
        <f t="array" ref="I53">_xlfn.XLOOKUP($D$48&amp;$E$53,[2]Sheet1!$D$4343:$D$4528&amp;[2]Sheet1!$E$4343:$E$4528,[2]Sheet1!$I$4343:$I$4528)</f>
        <v>0.99817</v>
      </c>
      <c r="J53" cm="1">
        <f t="array" ref="J53">_xlfn.XLOOKUP($D$48&amp;$E$53,[2]Sheet1!$D$4343:$D$4528&amp;[2]Sheet1!$E$4343:$E$4528,[2]Sheet1!$J$4343:$J$4528)</f>
        <v>0.99736999999999998</v>
      </c>
      <c r="K53" cm="1">
        <f t="array" ref="K53">_xlfn.XLOOKUP($D$48&amp;$E$53,[2]Sheet1!$D$4343:$D$4528&amp;[2]Sheet1!$E$4343:$E$4528,[2]Sheet1!$K$4343:$K$4528)</f>
        <v>0.99734999999999996</v>
      </c>
      <c r="L53" cm="1">
        <f t="array" ref="L53">_xlfn.XLOOKUP($D$48&amp;$E$53,[2]Sheet1!$D$4343:$D$4528&amp;[2]Sheet1!$E$4343:$E$4528,[2]Sheet1!$L$4343:$L$4528)</f>
        <v>0.99685000000000001</v>
      </c>
      <c r="M53" cm="1">
        <f t="array" ref="M53">_xlfn.XLOOKUP($D$48&amp;$E$53,[2]Sheet1!$D$4343:$D$4528&amp;[2]Sheet1!$E$4343:$E$4528,[2]Sheet1!$M$4343:$M$4528)</f>
        <v>0.99567000000000005</v>
      </c>
      <c r="N53" cm="1">
        <f t="array" ref="N53">_xlfn.XLOOKUP($D$48&amp;$E$53,[2]Sheet1!$D$4343:$D$4528&amp;[2]Sheet1!$E$4343:$E$4528,[2]Sheet1!$N$4343:$N$4528)</f>
        <v>0.99346999999999996</v>
      </c>
      <c r="O53" cm="1">
        <f t="array" ref="O53">_xlfn.XLOOKUP($D$48&amp;$E$53,[2]Sheet1!$D$4343:$D$4528&amp;[2]Sheet1!$E$4343:$E$4528,[2]Sheet1!$O$4343:$O$4528)</f>
        <v>0.98963999999999996</v>
      </c>
      <c r="P53" cm="1">
        <f t="array" ref="P53">_xlfn.XLOOKUP($D$48&amp;$E$53,[2]Sheet1!$D$4343:$D$4528&amp;[2]Sheet1!$E$4343:$E$4528,[2]Sheet1!$P$4343:$P$4528)</f>
        <v>0.98368</v>
      </c>
      <c r="Q53" cm="1">
        <f t="array" ref="Q53">_xlfn.XLOOKUP($D$48&amp;$E$53,[2]Sheet1!$D$4343:$D$4528&amp;[2]Sheet1!$E$4343:$E$4528,[2]Sheet1!$Q$4343:$Q$4528)</f>
        <v>0.97529999999999994</v>
      </c>
      <c r="R53" cm="1">
        <f t="array" ref="R53">_xlfn.XLOOKUP($D$48&amp;$E$53,[2]Sheet1!$D$4343:$D$4528&amp;[2]Sheet1!$E$4343:$E$4528,[2]Sheet1!$R$4343:$R$4528)</f>
        <v>0.95979000000000003</v>
      </c>
      <c r="S53" cm="1">
        <f t="array" ref="S53">_xlfn.XLOOKUP($D$48&amp;$E$53,[2]Sheet1!$D$4343:$D$4528&amp;[2]Sheet1!$E$4343:$E$4528,[2]Sheet1!$S$4343:$S$4528)</f>
        <v>0.93798000000000004</v>
      </c>
      <c r="T53" cm="1">
        <f t="array" ref="T53">_xlfn.XLOOKUP($D$48&amp;$E$53,[2]Sheet1!$D$4343:$D$4528&amp;[2]Sheet1!$E$4343:$E$4528,[2]Sheet1!$T$4343:$T$4528)</f>
        <v>0.90536000000000005</v>
      </c>
      <c r="U53" cm="1">
        <f t="array" ref="U53">_xlfn.XLOOKUP($D$48&amp;$E$53,[2]Sheet1!$D$4343:$D$4528&amp;[2]Sheet1!$E$4343:$E$4528,[2]Sheet1!$U$4343:$U$4528)</f>
        <v>0.84194000000000002</v>
      </c>
      <c r="V53" cm="1">
        <f t="array" ref="V53">_xlfn.XLOOKUP($D$48&amp;$E$53,[2]Sheet1!$D$4343:$D$4528&amp;[2]Sheet1!$E$4343:$E$4528,[2]Sheet1!$V$4343:$V$4528)</f>
        <v>0.72968</v>
      </c>
      <c r="W53" cm="1">
        <f t="array" ref="W53">_xlfn.XLOOKUP($D$48&amp;$E$53,[2]Sheet1!$D$4343:$D$4528&amp;[2]Sheet1!$E$4343:$E$4528,[2]Sheet1!$W$4343:$W$4528)</f>
        <v>0.46384999999999998</v>
      </c>
    </row>
    <row r="54" spans="2:23" x14ac:dyDescent="0.4">
      <c r="C54" t="s">
        <v>257</v>
      </c>
      <c r="D54" t="str">
        <f>$D$8</f>
        <v>新潟市</v>
      </c>
      <c r="E54" t="s">
        <v>232</v>
      </c>
      <c r="F54" cm="1">
        <f t="array" ref="F54">_xlfn.XLOOKUP($D$54&amp;$E$54,[2]Sheet1!$D$4343:$D$4528&amp;[2]Sheet1!$E$4343:$E$4528,[2]Sheet1!$Y$4343:$Y$4528)</f>
        <v>0.99922999999999995</v>
      </c>
      <c r="G54" cm="1">
        <f t="array" ref="G54">_xlfn.XLOOKUP($D$54&amp;$E$54,[2]Sheet1!$D$4343:$D$4528&amp;[2]Sheet1!$E$4343:$E$4528,[2]Sheet1!$Z$4343:$Z$4528)</f>
        <v>0.99966999999999995</v>
      </c>
      <c r="H54" cm="1">
        <f t="array" ref="H54">_xlfn.XLOOKUP($D$54&amp;$E$54,[2]Sheet1!$D$4343:$D$4528&amp;[2]Sheet1!$E$4343:$E$4528,[2]Sheet1!$AA$4343:$AA$4528)</f>
        <v>0.99968000000000001</v>
      </c>
      <c r="I54" cm="1">
        <f t="array" ref="I54">_xlfn.XLOOKUP($D$54&amp;$E$54,[2]Sheet1!$D$4343:$D$4528&amp;[2]Sheet1!$E$4343:$E$4528,[2]Sheet1!$AB$4343:$AB$4528)</f>
        <v>0.99888999999999994</v>
      </c>
      <c r="J54" cm="1">
        <f t="array" ref="J54">_xlfn.XLOOKUP($D$54&amp;$E$54,[2]Sheet1!$D$4343:$D$4528&amp;[2]Sheet1!$E$4343:$E$4528,[2]Sheet1!$AC$4343:$AC$4528)</f>
        <v>0.99853999999999998</v>
      </c>
      <c r="K54" cm="1">
        <f t="array" ref="K54">_xlfn.XLOOKUP($D$54&amp;$E$54,[2]Sheet1!$D$4343:$D$4528&amp;[2]Sheet1!$E$4343:$E$4528,[2]Sheet1!$AD$4343:$AD$4528)</f>
        <v>0.99836999999999998</v>
      </c>
      <c r="L54" cm="1">
        <f t="array" ref="L54">_xlfn.XLOOKUP($D$54&amp;$E$54,[2]Sheet1!$D$4343:$D$4528&amp;[2]Sheet1!$E$4343:$E$4528,[2]Sheet1!$AE$4343:$AE$4528)</f>
        <v>0.99777000000000005</v>
      </c>
      <c r="M54" cm="1">
        <f t="array" ref="M54">_xlfn.XLOOKUP($D$54&amp;$E$54,[2]Sheet1!$D$4343:$D$4528&amp;[2]Sheet1!$E$4343:$E$4528,[2]Sheet1!$AF$4343:$AF$4528)</f>
        <v>0.99685999999999997</v>
      </c>
      <c r="N54" cm="1">
        <f t="array" ref="N54">_xlfn.XLOOKUP($D$54&amp;$E$54,[2]Sheet1!$D$4343:$D$4528&amp;[2]Sheet1!$E$4343:$E$4528,[2]Sheet1!$AG$4343:$AG$4528)</f>
        <v>0.99548999999999999</v>
      </c>
      <c r="O54" cm="1">
        <f t="array" ref="O54">_xlfn.XLOOKUP($D$54&amp;$E$54,[2]Sheet1!$D$4343:$D$4528&amp;[2]Sheet1!$E$4343:$E$4528,[2]Sheet1!$AH$4343:$AH$4528)</f>
        <v>0.99348999999999998</v>
      </c>
      <c r="P54" cm="1">
        <f t="array" ref="P54">_xlfn.XLOOKUP($D$54&amp;$E$54,[2]Sheet1!$D$4343:$D$4528&amp;[2]Sheet1!$E$4343:$E$4528,[2]Sheet1!$AI$4343:$AI$4528)</f>
        <v>0.99043000000000003</v>
      </c>
      <c r="Q54" cm="1">
        <f t="array" ref="Q54">_xlfn.XLOOKUP($D$54&amp;$E$54,[2]Sheet1!$D$4343:$D$4528&amp;[2]Sheet1!$E$4343:$E$4528,[2]Sheet1!$AJ$4343:$AJ$4528)</f>
        <v>0.98716000000000004</v>
      </c>
      <c r="R54" cm="1">
        <f t="array" ref="R54">_xlfn.XLOOKUP($D$54&amp;$E$54,[2]Sheet1!$D$4343:$D$4528&amp;[2]Sheet1!$E$4343:$E$4528,[2]Sheet1!$AK$4343:$AK$4528)</f>
        <v>0.98124</v>
      </c>
      <c r="S54" cm="1">
        <f t="array" ref="S54">_xlfn.XLOOKUP($D$54&amp;$E$54,[2]Sheet1!$D$4343:$D$4528&amp;[2]Sheet1!$E$4343:$E$4528,[2]Sheet1!$AL$4343:$AL$4528)</f>
        <v>0.97119999999999995</v>
      </c>
      <c r="T54" cm="1">
        <f t="array" ref="T54">_xlfn.XLOOKUP($D$54&amp;$E$54,[2]Sheet1!$D$4343:$D$4528&amp;[2]Sheet1!$E$4343:$E$4528,[2]Sheet1!$AM$4343:$AM$4528)</f>
        <v>0.95047000000000004</v>
      </c>
      <c r="U54" cm="1">
        <f t="array" ref="U54">_xlfn.XLOOKUP($D$54&amp;$E$54,[2]Sheet1!$D$4343:$D$4528&amp;[2]Sheet1!$E$4343:$E$4528,[2]Sheet1!$AN$4343:$AN$4528)</f>
        <v>0.90439999999999998</v>
      </c>
      <c r="V54" cm="1">
        <f t="array" ref="V54">_xlfn.XLOOKUP($D$54&amp;$E$54,[2]Sheet1!$D$4343:$D$4528&amp;[2]Sheet1!$E$4343:$E$4528,[2]Sheet1!$AO$4343:$AO$4528)</f>
        <v>0.81494</v>
      </c>
      <c r="W54" cm="1">
        <f t="array" ref="W54">_xlfn.XLOOKUP($D$54&amp;$E$54,[2]Sheet1!$D$4343:$D$4528&amp;[2]Sheet1!$E$4343:$E$4528,[2]Sheet1!$AP$4343:$AP$4528)</f>
        <v>0.50473000000000001</v>
      </c>
    </row>
    <row r="55" spans="2:23" x14ac:dyDescent="0.4">
      <c r="E55" t="s">
        <v>233</v>
      </c>
      <c r="F55" cm="1">
        <f t="array" ref="F55">_xlfn.XLOOKUP($D$54&amp;$E$55,[2]Sheet1!$D$4343:$D$4528&amp;[2]Sheet1!$E$4343:$E$4528,[2]Sheet1!$Y$4343:$Y$4528)</f>
        <v>0.99929999999999997</v>
      </c>
      <c r="G55" cm="1">
        <f t="array" ref="G55">_xlfn.XLOOKUP($D$54&amp;$E$55,[2]Sheet1!$D$4343:$D$4528&amp;[2]Sheet1!$E$4343:$E$4528,[2]Sheet1!$Z$4343:$Z$4528)</f>
        <v>0.99970000000000003</v>
      </c>
      <c r="H55" cm="1">
        <f t="array" ref="H55">_xlfn.XLOOKUP($D$54&amp;$E$55,[2]Sheet1!$D$4343:$D$4528&amp;[2]Sheet1!$E$4343:$E$4528,[2]Sheet1!$AA$4343:$AA$4528)</f>
        <v>0.99970000000000003</v>
      </c>
      <c r="I55" cm="1">
        <f t="array" ref="I55">_xlfn.XLOOKUP($D$54&amp;$E$55,[2]Sheet1!$D$4343:$D$4528&amp;[2]Sheet1!$E$4343:$E$4528,[2]Sheet1!$AB$4343:$AB$4528)</f>
        <v>0.99895999999999996</v>
      </c>
      <c r="J55" cm="1">
        <f t="array" ref="J55">_xlfn.XLOOKUP($D$54&amp;$E$55,[2]Sheet1!$D$4343:$D$4528&amp;[2]Sheet1!$E$4343:$E$4528,[2]Sheet1!$AC$4343:$AC$4528)</f>
        <v>0.99861999999999995</v>
      </c>
      <c r="K55" cm="1">
        <f t="array" ref="K55">_xlfn.XLOOKUP($D$54&amp;$E$55,[2]Sheet1!$D$4343:$D$4528&amp;[2]Sheet1!$E$4343:$E$4528,[2]Sheet1!$AD$4343:$AD$4528)</f>
        <v>0.99846000000000001</v>
      </c>
      <c r="L55" cm="1">
        <f t="array" ref="L55">_xlfn.XLOOKUP($D$54&amp;$E$55,[2]Sheet1!$D$4343:$D$4528&amp;[2]Sheet1!$E$4343:$E$4528,[2]Sheet1!$AE$4343:$AE$4528)</f>
        <v>0.99789000000000005</v>
      </c>
      <c r="M55" cm="1">
        <f t="array" ref="M55">_xlfn.XLOOKUP($D$54&amp;$E$55,[2]Sheet1!$D$4343:$D$4528&amp;[2]Sheet1!$E$4343:$E$4528,[2]Sheet1!$AF$4343:$AF$4528)</f>
        <v>0.99702999999999997</v>
      </c>
      <c r="N55" cm="1">
        <f t="array" ref="N55">_xlfn.XLOOKUP($D$54&amp;$E$55,[2]Sheet1!$D$4343:$D$4528&amp;[2]Sheet1!$E$4343:$E$4528,[2]Sheet1!$AG$4343:$AG$4528)</f>
        <v>0.99573999999999996</v>
      </c>
      <c r="O55" cm="1">
        <f t="array" ref="O55">_xlfn.XLOOKUP($D$54&amp;$E$55,[2]Sheet1!$D$4343:$D$4528&amp;[2]Sheet1!$E$4343:$E$4528,[2]Sheet1!$AH$4343:$AH$4528)</f>
        <v>0.99382999999999999</v>
      </c>
      <c r="P55" cm="1">
        <f t="array" ref="P55">_xlfn.XLOOKUP($D$54&amp;$E$55,[2]Sheet1!$D$4343:$D$4528&amp;[2]Sheet1!$E$4343:$E$4528,[2]Sheet1!$AI$4343:$AI$4528)</f>
        <v>0.99090999999999996</v>
      </c>
      <c r="Q55" cm="1">
        <f t="array" ref="Q55">_xlfn.XLOOKUP($D$54&amp;$E$55,[2]Sheet1!$D$4343:$D$4528&amp;[2]Sheet1!$E$4343:$E$4528,[2]Sheet1!$AJ$4343:$AJ$4528)</f>
        <v>0.98780999999999997</v>
      </c>
      <c r="R55" cm="1">
        <f t="array" ref="R55">_xlfn.XLOOKUP($D$54&amp;$E$55,[2]Sheet1!$D$4343:$D$4528&amp;[2]Sheet1!$E$4343:$E$4528,[2]Sheet1!$AK$4343:$AK$4528)</f>
        <v>0.98229</v>
      </c>
      <c r="S55" cm="1">
        <f t="array" ref="S55">_xlfn.XLOOKUP($D$54&amp;$E$55,[2]Sheet1!$D$4343:$D$4528&amp;[2]Sheet1!$E$4343:$E$4528,[2]Sheet1!$AL$4343:$AL$4528)</f>
        <v>0.97284000000000004</v>
      </c>
      <c r="T55" cm="1">
        <f t="array" ref="T55">_xlfn.XLOOKUP($D$54&amp;$E$55,[2]Sheet1!$D$4343:$D$4528&amp;[2]Sheet1!$E$4343:$E$4528,[2]Sheet1!$AM$4343:$AM$4528)</f>
        <v>0.95376000000000005</v>
      </c>
      <c r="U55" cm="1">
        <f t="array" ref="U55">_xlfn.XLOOKUP($D$54&amp;$E$55,[2]Sheet1!$D$4343:$D$4528&amp;[2]Sheet1!$E$4343:$E$4528,[2]Sheet1!$AN$4343:$AN$4528)</f>
        <v>0.91135999999999995</v>
      </c>
      <c r="V55" cm="1">
        <f t="array" ref="V55">_xlfn.XLOOKUP($D$54&amp;$E$55,[2]Sheet1!$D$4343:$D$4528&amp;[2]Sheet1!$E$4343:$E$4528,[2]Sheet1!$AO$4343:$AO$4528)</f>
        <v>0.82794000000000001</v>
      </c>
      <c r="W55" cm="1">
        <f t="array" ref="W55">_xlfn.XLOOKUP($D$54&amp;$E$55,[2]Sheet1!$D$4343:$D$4528&amp;[2]Sheet1!$E$4343:$E$4528,[2]Sheet1!$AP$4343:$AP$4528)</f>
        <v>0.51831000000000005</v>
      </c>
    </row>
    <row r="56" spans="2:23" x14ac:dyDescent="0.4">
      <c r="E56" t="s">
        <v>234</v>
      </c>
      <c r="F56" cm="1">
        <f t="array" ref="F56">_xlfn.XLOOKUP($D$54&amp;$E$56,[2]Sheet1!$D$4343:$D$4528&amp;[2]Sheet1!$E$4343:$E$4528,[2]Sheet1!$Y$4343:$Y$4528)</f>
        <v>0.99936999999999998</v>
      </c>
      <c r="G56" cm="1">
        <f t="array" ref="G56">_xlfn.XLOOKUP($D$54&amp;$E$56,[2]Sheet1!$D$4343:$D$4528&amp;[2]Sheet1!$E$4343:$E$4528,[2]Sheet1!$Z$4343:$Z$4528)</f>
        <v>0.99973000000000001</v>
      </c>
      <c r="H56" cm="1">
        <f t="array" ref="H56">_xlfn.XLOOKUP($D$54&amp;$E$56,[2]Sheet1!$D$4343:$D$4528&amp;[2]Sheet1!$E$4343:$E$4528,[2]Sheet1!$AA$4343:$AA$4528)</f>
        <v>0.99970999999999999</v>
      </c>
      <c r="I56" cm="1">
        <f t="array" ref="I56">_xlfn.XLOOKUP($D$54&amp;$E$56,[2]Sheet1!$D$4343:$D$4528&amp;[2]Sheet1!$E$4343:$E$4528,[2]Sheet1!$AB$4343:$AB$4528)</f>
        <v>0.99902000000000002</v>
      </c>
      <c r="J56" cm="1">
        <f t="array" ref="J56">_xlfn.XLOOKUP($D$54&amp;$E$56,[2]Sheet1!$D$4343:$D$4528&amp;[2]Sheet1!$E$4343:$E$4528,[2]Sheet1!$AC$4343:$AC$4528)</f>
        <v>0.99870000000000003</v>
      </c>
      <c r="K56" cm="1">
        <f t="array" ref="K56">_xlfn.XLOOKUP($D$54&amp;$E$56,[2]Sheet1!$D$4343:$D$4528&amp;[2]Sheet1!$E$4343:$E$4528,[2]Sheet1!$AD$4343:$AD$4528)</f>
        <v>0.99853999999999998</v>
      </c>
      <c r="L56" cm="1">
        <f t="array" ref="L56">_xlfn.XLOOKUP($D$54&amp;$E$56,[2]Sheet1!$D$4343:$D$4528&amp;[2]Sheet1!$E$4343:$E$4528,[2]Sheet1!$AE$4343:$AE$4528)</f>
        <v>0.99800999999999995</v>
      </c>
      <c r="M56" cm="1">
        <f t="array" ref="M56">_xlfn.XLOOKUP($D$54&amp;$E$56,[2]Sheet1!$D$4343:$D$4528&amp;[2]Sheet1!$E$4343:$E$4528,[2]Sheet1!$AF$4343:$AF$4528)</f>
        <v>0.99717999999999996</v>
      </c>
      <c r="N56" cm="1">
        <f t="array" ref="N56">_xlfn.XLOOKUP($D$54&amp;$E$56,[2]Sheet1!$D$4343:$D$4528&amp;[2]Sheet1!$E$4343:$E$4528,[2]Sheet1!$AG$4343:$AG$4528)</f>
        <v>0.99595</v>
      </c>
      <c r="O56" cm="1">
        <f t="array" ref="O56">_xlfn.XLOOKUP($D$54&amp;$E$56,[2]Sheet1!$D$4343:$D$4528&amp;[2]Sheet1!$E$4343:$E$4528,[2]Sheet1!$AH$4343:$AH$4528)</f>
        <v>0.99412999999999996</v>
      </c>
      <c r="P56" cm="1">
        <f t="array" ref="P56">_xlfn.XLOOKUP($D$54&amp;$E$56,[2]Sheet1!$D$4343:$D$4528&amp;[2]Sheet1!$E$4343:$E$4528,[2]Sheet1!$AI$4343:$AI$4528)</f>
        <v>0.99131999999999998</v>
      </c>
      <c r="Q56" cm="1">
        <f t="array" ref="Q56">_xlfn.XLOOKUP($D$54&amp;$E$56,[2]Sheet1!$D$4343:$D$4528&amp;[2]Sheet1!$E$4343:$E$4528,[2]Sheet1!$AJ$4343:$AJ$4528)</f>
        <v>0.98836999999999997</v>
      </c>
      <c r="R56" cm="1">
        <f t="array" ref="R56">_xlfn.XLOOKUP($D$54&amp;$E$56,[2]Sheet1!$D$4343:$D$4528&amp;[2]Sheet1!$E$4343:$E$4528,[2]Sheet1!$AK$4343:$AK$4528)</f>
        <v>0.98318000000000005</v>
      </c>
      <c r="S56" cm="1">
        <f t="array" ref="S56">_xlfn.XLOOKUP($D$54&amp;$E$56,[2]Sheet1!$D$4343:$D$4528&amp;[2]Sheet1!$E$4343:$E$4528,[2]Sheet1!$AL$4343:$AL$4528)</f>
        <v>0.97421000000000002</v>
      </c>
      <c r="T56" cm="1">
        <f t="array" ref="T56">_xlfn.XLOOKUP($D$54&amp;$E$56,[2]Sheet1!$D$4343:$D$4528&amp;[2]Sheet1!$E$4343:$E$4528,[2]Sheet1!$AM$4343:$AM$4528)</f>
        <v>0.95643999999999996</v>
      </c>
      <c r="U56" cm="1">
        <f t="array" ref="U56">_xlfn.XLOOKUP($D$54&amp;$E$56,[2]Sheet1!$D$4343:$D$4528&amp;[2]Sheet1!$E$4343:$E$4528,[2]Sheet1!$AN$4343:$AN$4528)</f>
        <v>0.91722000000000004</v>
      </c>
      <c r="V56" cm="1">
        <f t="array" ref="V56">_xlfn.XLOOKUP($D$54&amp;$E$56,[2]Sheet1!$D$4343:$D$4528&amp;[2]Sheet1!$E$4343:$E$4528,[2]Sheet1!$AO$4343:$AO$4528)</f>
        <v>0.83904999999999996</v>
      </c>
      <c r="W56" cm="1">
        <f t="array" ref="W56">_xlfn.XLOOKUP($D$54&amp;$E$56,[2]Sheet1!$D$4343:$D$4528&amp;[2]Sheet1!$E$4343:$E$4528,[2]Sheet1!$AP$4343:$AP$4528)</f>
        <v>0.53039000000000003</v>
      </c>
    </row>
    <row r="57" spans="2:23" x14ac:dyDescent="0.4">
      <c r="E57" t="s">
        <v>235</v>
      </c>
      <c r="F57" cm="1">
        <f t="array" ref="F57">_xlfn.XLOOKUP($D$54&amp;$E$57,[2]Sheet1!$D$4343:$D$4528&amp;[2]Sheet1!$E$4343:$E$4528,[2]Sheet1!$Y$4343:$Y$4528)</f>
        <v>0.99941999999999998</v>
      </c>
      <c r="G57" cm="1">
        <f t="array" ref="G57">_xlfn.XLOOKUP($D$54&amp;$E$57,[2]Sheet1!$D$4343:$D$4528&amp;[2]Sheet1!$E$4343:$E$4528,[2]Sheet1!$Z$4343:$Z$4528)</f>
        <v>0.99975000000000003</v>
      </c>
      <c r="H57" cm="1">
        <f t="array" ref="H57">_xlfn.XLOOKUP($D$54&amp;$E$57,[2]Sheet1!$D$4343:$D$4528&amp;[2]Sheet1!$E$4343:$E$4528,[2]Sheet1!$AA$4343:$AA$4528)</f>
        <v>0.99972000000000005</v>
      </c>
      <c r="I57" cm="1">
        <f t="array" ref="I57">_xlfn.XLOOKUP($D$54&amp;$E$57,[2]Sheet1!$D$4343:$D$4528&amp;[2]Sheet1!$E$4343:$E$4528,[2]Sheet1!$AB$4343:$AB$4528)</f>
        <v>0.99907999999999997</v>
      </c>
      <c r="J57" cm="1">
        <f t="array" ref="J57">_xlfn.XLOOKUP($D$54&amp;$E$57,[2]Sheet1!$D$4343:$D$4528&amp;[2]Sheet1!$E$4343:$E$4528,[2]Sheet1!$AC$4343:$AC$4528)</f>
        <v>0.99878</v>
      </c>
      <c r="K57" cm="1">
        <f t="array" ref="K57">_xlfn.XLOOKUP($D$54&amp;$E$57,[2]Sheet1!$D$4343:$D$4528&amp;[2]Sheet1!$E$4343:$E$4528,[2]Sheet1!$AD$4343:$AD$4528)</f>
        <v>0.99861</v>
      </c>
      <c r="L57" cm="1">
        <f t="array" ref="L57">_xlfn.XLOOKUP($D$54&amp;$E$57,[2]Sheet1!$D$4343:$D$4528&amp;[2]Sheet1!$E$4343:$E$4528,[2]Sheet1!$AE$4343:$AE$4528)</f>
        <v>0.99811000000000005</v>
      </c>
      <c r="M57" cm="1">
        <f t="array" ref="M57">_xlfn.XLOOKUP($D$54&amp;$E$57,[2]Sheet1!$D$4343:$D$4528&amp;[2]Sheet1!$E$4343:$E$4528,[2]Sheet1!$AF$4343:$AF$4528)</f>
        <v>0.99731999999999998</v>
      </c>
      <c r="N57" cm="1">
        <f t="array" ref="N57">_xlfn.XLOOKUP($D$54&amp;$E$57,[2]Sheet1!$D$4343:$D$4528&amp;[2]Sheet1!$E$4343:$E$4528,[2]Sheet1!$AG$4343:$AG$4528)</f>
        <v>0.99614000000000003</v>
      </c>
      <c r="O57" cm="1">
        <f t="array" ref="O57">_xlfn.XLOOKUP($D$54&amp;$E$57,[2]Sheet1!$D$4343:$D$4528&amp;[2]Sheet1!$E$4343:$E$4528,[2]Sheet1!$AH$4343:$AH$4528)</f>
        <v>0.99438000000000004</v>
      </c>
      <c r="P57" cm="1">
        <f t="array" ref="P57">_xlfn.XLOOKUP($D$54&amp;$E$57,[2]Sheet1!$D$4343:$D$4528&amp;[2]Sheet1!$E$4343:$E$4528,[2]Sheet1!$AI$4343:$AI$4528)</f>
        <v>0.99168000000000001</v>
      </c>
      <c r="Q57" cm="1">
        <f t="array" ref="Q57">_xlfn.XLOOKUP($D$54&amp;$E$57,[2]Sheet1!$D$4343:$D$4528&amp;[2]Sheet1!$E$4343:$E$4528,[2]Sheet1!$AJ$4343:$AJ$4528)</f>
        <v>0.98882999999999999</v>
      </c>
      <c r="R57" cm="1">
        <f t="array" ref="R57">_xlfn.XLOOKUP($D$54&amp;$E$57,[2]Sheet1!$D$4343:$D$4528&amp;[2]Sheet1!$E$4343:$E$4528,[2]Sheet1!$AK$4343:$AK$4528)</f>
        <v>0.98392999999999997</v>
      </c>
      <c r="S57" cm="1">
        <f t="array" ref="S57">_xlfn.XLOOKUP($D$54&amp;$E$57,[2]Sheet1!$D$4343:$D$4528&amp;[2]Sheet1!$E$4343:$E$4528,[2]Sheet1!$AL$4343:$AL$4528)</f>
        <v>0.97536</v>
      </c>
      <c r="T57" cm="1">
        <f t="array" ref="T57">_xlfn.XLOOKUP($D$54&amp;$E$57,[2]Sheet1!$D$4343:$D$4528&amp;[2]Sheet1!$E$4343:$E$4528,[2]Sheet1!$AM$4343:$AM$4528)</f>
        <v>0.95864000000000005</v>
      </c>
      <c r="U57" cm="1">
        <f t="array" ref="U57">_xlfn.XLOOKUP($D$54&amp;$E$57,[2]Sheet1!$D$4343:$D$4528&amp;[2]Sheet1!$E$4343:$E$4528,[2]Sheet1!$AN$4343:$AN$4528)</f>
        <v>0.92215999999999998</v>
      </c>
      <c r="V57" cm="1">
        <f t="array" ref="V57">_xlfn.XLOOKUP($D$54&amp;$E$57,[2]Sheet1!$D$4343:$D$4528&amp;[2]Sheet1!$E$4343:$E$4528,[2]Sheet1!$AO$4343:$AO$4528)</f>
        <v>0.84867000000000004</v>
      </c>
      <c r="W57" cm="1">
        <f t="array" ref="W57">_xlfn.XLOOKUP($D$54&amp;$E$57,[2]Sheet1!$D$4343:$D$4528&amp;[2]Sheet1!$E$4343:$E$4528,[2]Sheet1!$AP$4343:$AP$4528)</f>
        <v>0.54129000000000005</v>
      </c>
    </row>
    <row r="58" spans="2:23" x14ac:dyDescent="0.4">
      <c r="E58" t="s">
        <v>236</v>
      </c>
      <c r="F58" cm="1">
        <f t="array" ref="F58">_xlfn.XLOOKUP($D$54&amp;$E$58,[2]Sheet1!$D$4343:$D$4528&amp;[2]Sheet1!$E$4343:$E$4528,[2]Sheet1!$Y$4343:$Y$4528)</f>
        <v>0.99946999999999997</v>
      </c>
      <c r="G58" cm="1">
        <f t="array" ref="G58">_xlfn.XLOOKUP($D$54&amp;$E$58,[2]Sheet1!$D$4343:$D$4528&amp;[2]Sheet1!$E$4343:$E$4528,[2]Sheet1!$Z$4343:$Z$4528)</f>
        <v>0.99977000000000005</v>
      </c>
      <c r="H58" cm="1">
        <f t="array" ref="H58">_xlfn.XLOOKUP($D$54&amp;$E$58,[2]Sheet1!$D$4343:$D$4528&amp;[2]Sheet1!$E$4343:$E$4528,[2]Sheet1!$AA$4343:$AA$4528)</f>
        <v>0.99973000000000001</v>
      </c>
      <c r="I58" cm="1">
        <f t="array" ref="I58">_xlfn.XLOOKUP($D$54&amp;$E$58,[2]Sheet1!$D$4343:$D$4528&amp;[2]Sheet1!$E$4343:$E$4528,[2]Sheet1!$AB$4343:$AB$4528)</f>
        <v>0.99912999999999996</v>
      </c>
      <c r="J58" cm="1">
        <f t="array" ref="J58">_xlfn.XLOOKUP($D$54&amp;$E$58,[2]Sheet1!$D$4343:$D$4528&amp;[2]Sheet1!$E$4343:$E$4528,[2]Sheet1!$AC$4343:$AC$4528)</f>
        <v>0.99883999999999995</v>
      </c>
      <c r="K58" cm="1">
        <f t="array" ref="K58">_xlfn.XLOOKUP($D$54&amp;$E$58,[2]Sheet1!$D$4343:$D$4528&amp;[2]Sheet1!$E$4343:$E$4528,[2]Sheet1!$AD$4343:$AD$4528)</f>
        <v>0.99868000000000001</v>
      </c>
      <c r="L58" cm="1">
        <f t="array" ref="L58">_xlfn.XLOOKUP($D$54&amp;$E$58,[2]Sheet1!$D$4343:$D$4528&amp;[2]Sheet1!$E$4343:$E$4528,[2]Sheet1!$AE$4343:$AE$4528)</f>
        <v>0.99819999999999998</v>
      </c>
      <c r="M58" cm="1">
        <f t="array" ref="M58">_xlfn.XLOOKUP($D$54&amp;$E$58,[2]Sheet1!$D$4343:$D$4528&amp;[2]Sheet1!$E$4343:$E$4528,[2]Sheet1!$AF$4343:$AF$4528)</f>
        <v>0.99743999999999999</v>
      </c>
      <c r="N58" cm="1">
        <f t="array" ref="N58">_xlfn.XLOOKUP($D$54&amp;$E$58,[2]Sheet1!$D$4343:$D$4528&amp;[2]Sheet1!$E$4343:$E$4528,[2]Sheet1!$AG$4343:$AG$4528)</f>
        <v>0.99629999999999996</v>
      </c>
      <c r="O58" cm="1">
        <f t="array" ref="O58">_xlfn.XLOOKUP($D$54&amp;$E$58,[2]Sheet1!$D$4343:$D$4528&amp;[2]Sheet1!$E$4343:$E$4528,[2]Sheet1!$AH$4343:$AH$4528)</f>
        <v>0.99460000000000004</v>
      </c>
      <c r="P58" cm="1">
        <f t="array" ref="P58">_xlfn.XLOOKUP($D$54&amp;$E$58,[2]Sheet1!$D$4343:$D$4528&amp;[2]Sheet1!$E$4343:$E$4528,[2]Sheet1!$AI$4343:$AI$4528)</f>
        <v>0.99199000000000004</v>
      </c>
      <c r="Q58" cm="1">
        <f t="array" ref="Q58">_xlfn.XLOOKUP($D$54&amp;$E$58,[2]Sheet1!$D$4343:$D$4528&amp;[2]Sheet1!$E$4343:$E$4528,[2]Sheet1!$AJ$4343:$AJ$4528)</f>
        <v>0.98921999999999999</v>
      </c>
      <c r="R58" cm="1">
        <f t="array" ref="R58">_xlfn.XLOOKUP($D$54&amp;$E$58,[2]Sheet1!$D$4343:$D$4528&amp;[2]Sheet1!$E$4343:$E$4528,[2]Sheet1!$AK$4343:$AK$4528)</f>
        <v>0.98456999999999995</v>
      </c>
      <c r="S58" cm="1">
        <f t="array" ref="S58">_xlfn.XLOOKUP($D$54&amp;$E$58,[2]Sheet1!$D$4343:$D$4528&amp;[2]Sheet1!$E$4343:$E$4528,[2]Sheet1!$AL$4343:$AL$4528)</f>
        <v>0.97633000000000003</v>
      </c>
      <c r="T58" cm="1">
        <f t="array" ref="T58">_xlfn.XLOOKUP($D$54&amp;$E$58,[2]Sheet1!$D$4343:$D$4528&amp;[2]Sheet1!$E$4343:$E$4528,[2]Sheet1!$AM$4343:$AM$4528)</f>
        <v>0.96045999999999998</v>
      </c>
      <c r="U58" cm="1">
        <f t="array" ref="U58">_xlfn.XLOOKUP($D$54&amp;$E$58,[2]Sheet1!$D$4343:$D$4528&amp;[2]Sheet1!$E$4343:$E$4528,[2]Sheet1!$AN$4343:$AN$4528)</f>
        <v>0.92632999999999999</v>
      </c>
      <c r="V58" cm="1">
        <f t="array" ref="V58">_xlfn.XLOOKUP($D$54&amp;$E$58,[2]Sheet1!$D$4343:$D$4528&amp;[2]Sheet1!$E$4343:$E$4528,[2]Sheet1!$AO$4343:$AO$4528)</f>
        <v>0.85702999999999996</v>
      </c>
      <c r="W58" cm="1">
        <f t="array" ref="W58">_xlfn.XLOOKUP($D$54&amp;$E$58,[2]Sheet1!$D$4343:$D$4528&amp;[2]Sheet1!$E$4343:$E$4528,[2]Sheet1!$AP$4343:$AP$4528)</f>
        <v>0.55117000000000005</v>
      </c>
    </row>
    <row r="59" spans="2:23" x14ac:dyDescent="0.4">
      <c r="E59" t="s">
        <v>237</v>
      </c>
      <c r="F59" cm="1">
        <f t="array" ref="F59">_xlfn.XLOOKUP($D$54&amp;$E$59,[2]Sheet1!$D$4343:$D$4528&amp;[2]Sheet1!$E$4343:$E$4528,[2]Sheet1!$Y$4343:$Y$4528)</f>
        <v>0.99951999999999996</v>
      </c>
      <c r="G59" cm="1">
        <f t="array" ref="G59">_xlfn.XLOOKUP($D$54&amp;$E$59,[2]Sheet1!$D$4343:$D$4528&amp;[2]Sheet1!$E$4343:$E$4528,[2]Sheet1!$Z$4343:$Z$4528)</f>
        <v>0.99978999999999996</v>
      </c>
      <c r="H59" cm="1">
        <f t="array" ref="H59">_xlfn.XLOOKUP($D$54&amp;$E$59,[2]Sheet1!$D$4343:$D$4528&amp;[2]Sheet1!$E$4343:$E$4528,[2]Sheet1!$AA$4343:$AA$4528)</f>
        <v>0.99973999999999996</v>
      </c>
      <c r="I59" cm="1">
        <f t="array" ref="I59">_xlfn.XLOOKUP($D$54&amp;$E$59,[2]Sheet1!$D$4343:$D$4528&amp;[2]Sheet1!$E$4343:$E$4528,[2]Sheet1!$AB$4343:$AB$4528)</f>
        <v>0.99917999999999996</v>
      </c>
      <c r="J59" cm="1">
        <f t="array" ref="J59">_xlfn.XLOOKUP($D$54&amp;$E$59,[2]Sheet1!$D$4343:$D$4528&amp;[2]Sheet1!$E$4343:$E$4528,[2]Sheet1!$AC$4343:$AC$4528)</f>
        <v>0.99890999999999996</v>
      </c>
      <c r="K59" cm="1">
        <f t="array" ref="K59">_xlfn.XLOOKUP($D$54&amp;$E$59,[2]Sheet1!$D$4343:$D$4528&amp;[2]Sheet1!$E$4343:$E$4528,[2]Sheet1!$AD$4343:$AD$4528)</f>
        <v>0.99873000000000001</v>
      </c>
      <c r="L59" cm="1">
        <f t="array" ref="L59">_xlfn.XLOOKUP($D$54&amp;$E$59,[2]Sheet1!$D$4343:$D$4528&amp;[2]Sheet1!$E$4343:$E$4528,[2]Sheet1!$AE$4343:$AE$4528)</f>
        <v>0.99827999999999995</v>
      </c>
      <c r="M59" cm="1">
        <f t="array" ref="M59">_xlfn.XLOOKUP($D$54&amp;$E$59,[2]Sheet1!$D$4343:$D$4528&amp;[2]Sheet1!$E$4343:$E$4528,[2]Sheet1!$AF$4343:$AF$4528)</f>
        <v>0.99755000000000005</v>
      </c>
      <c r="N59" cm="1">
        <f t="array" ref="N59">_xlfn.XLOOKUP($D$54&amp;$E$59,[2]Sheet1!$D$4343:$D$4528&amp;[2]Sheet1!$E$4343:$E$4528,[2]Sheet1!$AG$4343:$AG$4528)</f>
        <v>0.99643999999999999</v>
      </c>
      <c r="O59" cm="1">
        <f t="array" ref="O59">_xlfn.XLOOKUP($D$54&amp;$E$59,[2]Sheet1!$D$4343:$D$4528&amp;[2]Sheet1!$E$4343:$E$4528,[2]Sheet1!$AH$4343:$AH$4528)</f>
        <v>0.99478</v>
      </c>
      <c r="P59" cm="1">
        <f t="array" ref="P59">_xlfn.XLOOKUP($D$54&amp;$E$59,[2]Sheet1!$D$4343:$D$4528&amp;[2]Sheet1!$E$4343:$E$4528,[2]Sheet1!$AI$4343:$AI$4528)</f>
        <v>0.99226000000000003</v>
      </c>
      <c r="Q59" cm="1">
        <f t="array" ref="Q59">_xlfn.XLOOKUP($D$54&amp;$E$59,[2]Sheet1!$D$4343:$D$4528&amp;[2]Sheet1!$E$4343:$E$4528,[2]Sheet1!$AJ$4343:$AJ$4528)</f>
        <v>0.98953999999999998</v>
      </c>
      <c r="R59" cm="1">
        <f t="array" ref="R59">_xlfn.XLOOKUP($D$54&amp;$E$59,[2]Sheet1!$D$4343:$D$4528&amp;[2]Sheet1!$E$4343:$E$4528,[2]Sheet1!$AK$4343:$AK$4528)</f>
        <v>0.98509999999999998</v>
      </c>
      <c r="S59" cm="1">
        <f t="array" ref="S59">_xlfn.XLOOKUP($D$54&amp;$E$59,[2]Sheet1!$D$4343:$D$4528&amp;[2]Sheet1!$E$4343:$E$4528,[2]Sheet1!$AL$4343:$AL$4528)</f>
        <v>0.97714999999999996</v>
      </c>
      <c r="T59" cm="1">
        <f t="array" ref="T59">_xlfn.XLOOKUP($D$54&amp;$E$59,[2]Sheet1!$D$4343:$D$4528&amp;[2]Sheet1!$E$4343:$E$4528,[2]Sheet1!$AM$4343:$AM$4528)</f>
        <v>0.96196999999999999</v>
      </c>
      <c r="U59" cm="1">
        <f t="array" ref="U59">_xlfn.XLOOKUP($D$54&amp;$E$59,[2]Sheet1!$D$4343:$D$4528&amp;[2]Sheet1!$E$4343:$E$4528,[2]Sheet1!$AN$4343:$AN$4528)</f>
        <v>0.92988000000000004</v>
      </c>
      <c r="V59" cm="1">
        <f t="array" ref="V59">_xlfn.XLOOKUP($D$54&amp;$E$59,[2]Sheet1!$D$4343:$D$4528&amp;[2]Sheet1!$E$4343:$E$4528,[2]Sheet1!$AO$4343:$AO$4528)</f>
        <v>0.86431000000000002</v>
      </c>
      <c r="W59" cm="1">
        <f t="array" ref="W59">_xlfn.XLOOKUP($D$54&amp;$E$59,[2]Sheet1!$D$4343:$D$4528&amp;[2]Sheet1!$E$4343:$E$4528,[2]Sheet1!$AP$4343:$AP$4528)</f>
        <v>0.56013000000000002</v>
      </c>
    </row>
    <row r="61" spans="2:23" x14ac:dyDescent="0.4">
      <c r="B61" t="s">
        <v>260</v>
      </c>
      <c r="C61" t="s">
        <v>256</v>
      </c>
      <c r="D61" t="str">
        <f>$D$8</f>
        <v>新潟市</v>
      </c>
      <c r="E61" t="s">
        <v>232</v>
      </c>
      <c r="F61" cm="1">
        <f t="array" ref="F61">_xlfn.XLOOKUP($D$61&amp;$E$61,[3]Sheet1!$D$4343:$D$4528&amp;[3]Sheet1!$E$4343:$E$4528,[3]Sheet1!$F$4343:$F$4528)</f>
        <v>1.6199999999999999E-2</v>
      </c>
      <c r="G61" cm="1">
        <f t="array" ref="G61">_xlfn.XLOOKUP($D$61&amp;$E$61,[3]Sheet1!$D$4343:$D$4528&amp;[3]Sheet1!$E$4343:$E$4528,[3]Sheet1!$G$4343:$G$4528)</f>
        <v>1.074E-2</v>
      </c>
      <c r="H61" cm="1">
        <f t="array" ref="H61">_xlfn.XLOOKUP($D$61&amp;$E$61,[3]Sheet1!$D$4343:$D$4528&amp;[3]Sheet1!$E$4343:$E$4528,[3]Sheet1!$H$4343:$H$4528)</f>
        <v>3.8150000000000003E-2</v>
      </c>
      <c r="I61" cm="1">
        <f t="array" ref="I61">_xlfn.XLOOKUP($D$61&amp;$E$61,[3]Sheet1!$D$4343:$D$4528&amp;[3]Sheet1!$E$4343:$E$4528,[3]Sheet1!$I$4343:$I$4528)</f>
        <v>1.58E-3</v>
      </c>
      <c r="J61" cm="1">
        <f t="array" ref="J61">_xlfn.XLOOKUP($D$61&amp;$E$61,[3]Sheet1!$D$4343:$D$4528&amp;[3]Sheet1!$E$4343:$E$4528,[3]Sheet1!$J$4343:$J$4528)</f>
        <v>-5.7160000000000002E-2</v>
      </c>
      <c r="K61" cm="1">
        <f t="array" ref="K61">_xlfn.XLOOKUP($D$61&amp;$E$61,[3]Sheet1!$D$4343:$D$4528&amp;[3]Sheet1!$E$4343:$E$4528,[3]Sheet1!$K$4343:$K$4528)</f>
        <v>2.4819999999999998E-2</v>
      </c>
      <c r="L61" cm="1">
        <f t="array" ref="L61">_xlfn.XLOOKUP($D$61&amp;$E$61,[3]Sheet1!$D$4343:$D$4528&amp;[3]Sheet1!$E$4343:$E$4528,[3]Sheet1!$L$4343:$L$4528)</f>
        <v>3.3430000000000001E-2</v>
      </c>
      <c r="M61" cm="1">
        <f t="array" ref="M61">_xlfn.XLOOKUP($D$61&amp;$E$61,[3]Sheet1!$D$4343:$D$4528&amp;[3]Sheet1!$E$4343:$E$4528,[3]Sheet1!$M$4343:$M$4528)</f>
        <v>1.244E-2</v>
      </c>
      <c r="N61" cm="1">
        <f t="array" ref="N61">_xlfn.XLOOKUP($D$61&amp;$E$61,[3]Sheet1!$D$4343:$D$4528&amp;[3]Sheet1!$E$4343:$E$4528,[3]Sheet1!$N$4343:$N$4528)</f>
        <v>9.75E-3</v>
      </c>
      <c r="O61" cm="1">
        <f t="array" ref="O61">_xlfn.XLOOKUP($D$61&amp;$E$61,[3]Sheet1!$D$4343:$D$4528&amp;[3]Sheet1!$E$4343:$E$4528,[3]Sheet1!$O$4343:$O$4528)</f>
        <v>1.5299999999999999E-3</v>
      </c>
      <c r="P61" cm="1">
        <f t="array" ref="P61">_xlfn.XLOOKUP($D$61&amp;$E$61,[3]Sheet1!$D$4343:$D$4528&amp;[3]Sheet1!$E$4343:$E$4528,[3]Sheet1!$P$4343:$P$4528)</f>
        <v>9.92E-3</v>
      </c>
      <c r="Q61" cm="1">
        <f t="array" ref="Q61">_xlfn.XLOOKUP($D$61&amp;$E$61,[3]Sheet1!$D$4343:$D$4528&amp;[3]Sheet1!$E$4343:$E$4528,[3]Sheet1!$Q$4343:$Q$4528)</f>
        <v>2.1700000000000001E-2</v>
      </c>
      <c r="R61" cm="1">
        <f t="array" ref="R61">_xlfn.XLOOKUP($D$61&amp;$E$61,[3]Sheet1!$D$4343:$D$4528&amp;[3]Sheet1!$E$4343:$E$4528,[3]Sheet1!$R$4343:$R$4528)</f>
        <v>5.9899999999999997E-3</v>
      </c>
      <c r="S61" cm="1">
        <f t="array" ref="S61">_xlfn.XLOOKUP($D$61&amp;$E$61,[3]Sheet1!$D$4343:$D$4528&amp;[3]Sheet1!$E$4343:$E$4528,[3]Sheet1!$S$4343:$S$4528)</f>
        <v>4.7499999999999999E-3</v>
      </c>
      <c r="T61" cm="1">
        <f t="array" ref="T61">_xlfn.XLOOKUP($D$61&amp;$E$61,[3]Sheet1!$D$4343:$D$4528&amp;[3]Sheet1!$E$4343:$E$4528,[3]Sheet1!$T$4343:$T$4528)</f>
        <v>3.7499999999999999E-3</v>
      </c>
      <c r="U61" cm="1">
        <f t="array" ref="U61">_xlfn.XLOOKUP($D$61&amp;$E$61,[3]Sheet1!$D$4343:$D$4528&amp;[3]Sheet1!$E$4343:$E$4528,[3]Sheet1!$U$4343:$U$4528)</f>
        <v>3.7599999999999999E-3</v>
      </c>
      <c r="V61" cm="1">
        <f t="array" ref="V61">_xlfn.XLOOKUP($D$61&amp;$E$61,[3]Sheet1!$D$4343:$D$4528&amp;[3]Sheet1!$E$4343:$E$4528,[3]Sheet1!$V$4343:$V$4528)</f>
        <v>9.7300000000000008E-3</v>
      </c>
      <c r="W61" cm="1">
        <f t="array" ref="W61">_xlfn.XLOOKUP($D$61&amp;$E$61,[3]Sheet1!$D$4343:$D$4528&amp;[3]Sheet1!$E$4343:$E$4528,[3]Sheet1!$W$4343:$W$4528)</f>
        <v>5.0479999999999997E-2</v>
      </c>
    </row>
    <row r="62" spans="2:23" x14ac:dyDescent="0.4">
      <c r="E62" t="s">
        <v>233</v>
      </c>
      <c r="F62" cm="1">
        <f t="array" ref="F62">_xlfn.XLOOKUP($D$61&amp;$E$62,[3]Sheet1!$D$4343:$D$4528&amp;[3]Sheet1!$E$4343:$E$4528,[3]Sheet1!$F$4343:$F$4528)</f>
        <v>1.636E-2</v>
      </c>
      <c r="G62" cm="1">
        <f t="array" ref="G62">_xlfn.XLOOKUP($D$61&amp;$E$62,[3]Sheet1!$D$4343:$D$4528&amp;[3]Sheet1!$E$4343:$E$4528,[3]Sheet1!$G$4343:$G$4528)</f>
        <v>1.0449999999999999E-2</v>
      </c>
      <c r="H62" cm="1">
        <f t="array" ref="H62">_xlfn.XLOOKUP($D$61&amp;$E$62,[3]Sheet1!$D$4343:$D$4528&amp;[3]Sheet1!$E$4343:$E$4528,[3]Sheet1!$H$4343:$H$4528)</f>
        <v>3.3439999999999998E-2</v>
      </c>
      <c r="I62" cm="1">
        <f t="array" ref="I62">_xlfn.XLOOKUP($D$61&amp;$E$62,[3]Sheet1!$D$4343:$D$4528&amp;[3]Sheet1!$E$4343:$E$4528,[3]Sheet1!$I$4343:$I$4528)</f>
        <v>-4.2100000000000002E-3</v>
      </c>
      <c r="J62" cm="1">
        <f t="array" ref="J62">_xlfn.XLOOKUP($D$61&amp;$E$62,[3]Sheet1!$D$4343:$D$4528&amp;[3]Sheet1!$E$4343:$E$4528,[3]Sheet1!$J$4343:$J$4528)</f>
        <v>-5.8119999999999998E-2</v>
      </c>
      <c r="K62" cm="1">
        <f t="array" ref="K62">_xlfn.XLOOKUP($D$61&amp;$E$62,[3]Sheet1!$D$4343:$D$4528&amp;[3]Sheet1!$E$4343:$E$4528,[3]Sheet1!$K$4343:$K$4528)</f>
        <v>2.4070000000000001E-2</v>
      </c>
      <c r="L62" cm="1">
        <f t="array" ref="L62">_xlfn.XLOOKUP($D$61&amp;$E$62,[3]Sheet1!$D$4343:$D$4528&amp;[3]Sheet1!$E$4343:$E$4528,[3]Sheet1!$L$4343:$L$4528)</f>
        <v>3.5430000000000003E-2</v>
      </c>
      <c r="M62" cm="1">
        <f t="array" ref="M62">_xlfn.XLOOKUP($D$61&amp;$E$62,[3]Sheet1!$D$4343:$D$4528&amp;[3]Sheet1!$E$4343:$E$4528,[3]Sheet1!$M$4343:$M$4528)</f>
        <v>1.524E-2</v>
      </c>
      <c r="N62" cm="1">
        <f t="array" ref="N62">_xlfn.XLOOKUP($D$61&amp;$E$62,[3]Sheet1!$D$4343:$D$4528&amp;[3]Sheet1!$E$4343:$E$4528,[3]Sheet1!$N$4343:$N$4528)</f>
        <v>8.7299999999999999E-3</v>
      </c>
      <c r="O62" cm="1">
        <f t="array" ref="O62">_xlfn.XLOOKUP($D$61&amp;$E$62,[3]Sheet1!$D$4343:$D$4528&amp;[3]Sheet1!$E$4343:$E$4528,[3]Sheet1!$O$4343:$O$4528)</f>
        <v>7.2000000000000005E-4</v>
      </c>
      <c r="P62" cm="1">
        <f t="array" ref="P62">_xlfn.XLOOKUP($D$61&amp;$E$62,[3]Sheet1!$D$4343:$D$4528&amp;[3]Sheet1!$E$4343:$E$4528,[3]Sheet1!$P$4343:$P$4528)</f>
        <v>9.0900000000000009E-3</v>
      </c>
      <c r="Q62" cm="1">
        <f t="array" ref="Q62">_xlfn.XLOOKUP($D$61&amp;$E$62,[3]Sheet1!$D$4343:$D$4528&amp;[3]Sheet1!$E$4343:$E$4528,[3]Sheet1!$Q$4343:$Q$4528)</f>
        <v>2.2159999999999999E-2</v>
      </c>
      <c r="R62" cm="1">
        <f t="array" ref="R62">_xlfn.XLOOKUP($D$61&amp;$E$62,[3]Sheet1!$D$4343:$D$4528&amp;[3]Sheet1!$E$4343:$E$4528,[3]Sheet1!$R$4343:$R$4528)</f>
        <v>6.8399999999999997E-3</v>
      </c>
      <c r="S62" cm="1">
        <f t="array" ref="S62">_xlfn.XLOOKUP($D$61&amp;$E$62,[3]Sheet1!$D$4343:$D$4528&amp;[3]Sheet1!$E$4343:$E$4528,[3]Sheet1!$S$4343:$S$4528)</f>
        <v>3.2699999999999999E-3</v>
      </c>
      <c r="T62" cm="1">
        <f t="array" ref="T62">_xlfn.XLOOKUP($D$61&amp;$E$62,[3]Sheet1!$D$4343:$D$4528&amp;[3]Sheet1!$E$4343:$E$4528,[3]Sheet1!$T$4343:$T$4528)</f>
        <v>6.2100000000000002E-3</v>
      </c>
      <c r="U62" cm="1">
        <f t="array" ref="U62">_xlfn.XLOOKUP($D$61&amp;$E$62,[3]Sheet1!$D$4343:$D$4528&amp;[3]Sheet1!$E$4343:$E$4528,[3]Sheet1!$U$4343:$U$4528)</f>
        <v>1.74E-3</v>
      </c>
      <c r="V62" cm="1">
        <f t="array" ref="V62">_xlfn.XLOOKUP($D$61&amp;$E$62,[3]Sheet1!$D$4343:$D$4528&amp;[3]Sheet1!$E$4343:$E$4528,[3]Sheet1!$V$4343:$V$4528)</f>
        <v>7.1199999999999996E-3</v>
      </c>
      <c r="W62" cm="1">
        <f t="array" ref="W62">_xlfn.XLOOKUP($D$61&amp;$E$62,[3]Sheet1!$D$4343:$D$4528&amp;[3]Sheet1!$E$4343:$E$4528,[3]Sheet1!$W$4343:$W$4528)</f>
        <v>4.2459999999999998E-2</v>
      </c>
    </row>
    <row r="63" spans="2:23" x14ac:dyDescent="0.4">
      <c r="E63" t="s">
        <v>234</v>
      </c>
      <c r="F63" cm="1">
        <f t="array" ref="F63">_xlfn.XLOOKUP($D$61&amp;$E$63,[3]Sheet1!$D$4343:$D$4528&amp;[3]Sheet1!$E$4343:$E$4528,[3]Sheet1!$F$4343:$F$4528)</f>
        <v>1.66E-2</v>
      </c>
      <c r="G63" cm="1">
        <f t="array" ref="G63">_xlfn.XLOOKUP($D$61&amp;$E$63,[3]Sheet1!$D$4343:$D$4528&amp;[3]Sheet1!$E$4343:$E$4528,[3]Sheet1!$G$4343:$G$4528)</f>
        <v>1.018E-2</v>
      </c>
      <c r="H63" cm="1">
        <f t="array" ref="H63">_xlfn.XLOOKUP($D$61&amp;$E$63,[3]Sheet1!$D$4343:$D$4528&amp;[3]Sheet1!$E$4343:$E$4528,[3]Sheet1!$H$4343:$H$4528)</f>
        <v>3.0540000000000001E-2</v>
      </c>
      <c r="I63" cm="1">
        <f t="array" ref="I63">_xlfn.XLOOKUP($D$61&amp;$E$63,[3]Sheet1!$D$4343:$D$4528&amp;[3]Sheet1!$E$4343:$E$4528,[3]Sheet1!$I$4343:$I$4528)</f>
        <v>-1.2239999999999999E-2</v>
      </c>
      <c r="J63" cm="1">
        <f t="array" ref="J63">_xlfn.XLOOKUP($D$61&amp;$E$63,[3]Sheet1!$D$4343:$D$4528&amp;[3]Sheet1!$E$4343:$E$4528,[3]Sheet1!$J$4343:$J$4528)</f>
        <v>-5.9909999999999998E-2</v>
      </c>
      <c r="K63" cm="1">
        <f t="array" ref="K63">_xlfn.XLOOKUP($D$61&amp;$E$63,[3]Sheet1!$D$4343:$D$4528&amp;[3]Sheet1!$E$4343:$E$4528,[3]Sheet1!$K$4343:$K$4528)</f>
        <v>2.12E-2</v>
      </c>
      <c r="L63" cm="1">
        <f t="array" ref="L63">_xlfn.XLOOKUP($D$61&amp;$E$63,[3]Sheet1!$D$4343:$D$4528&amp;[3]Sheet1!$E$4343:$E$4528,[3]Sheet1!$L$4343:$L$4528)</f>
        <v>3.4860000000000002E-2</v>
      </c>
      <c r="M63" cm="1">
        <f t="array" ref="M63">_xlfn.XLOOKUP($D$61&amp;$E$63,[3]Sheet1!$D$4343:$D$4528&amp;[3]Sheet1!$E$4343:$E$4528,[3]Sheet1!$M$4343:$M$4528)</f>
        <v>1.473E-2</v>
      </c>
      <c r="N63" cm="1">
        <f t="array" ref="N63">_xlfn.XLOOKUP($D$61&amp;$E$63,[3]Sheet1!$D$4343:$D$4528&amp;[3]Sheet1!$E$4343:$E$4528,[3]Sheet1!$N$4343:$N$4528)</f>
        <v>1.035E-2</v>
      </c>
      <c r="O63" cm="1">
        <f t="array" ref="O63">_xlfn.XLOOKUP($D$61&amp;$E$63,[3]Sheet1!$D$4343:$D$4528&amp;[3]Sheet1!$E$4343:$E$4528,[3]Sheet1!$O$4343:$O$4528)</f>
        <v>-1.09E-3</v>
      </c>
      <c r="P63" cm="1">
        <f t="array" ref="P63">_xlfn.XLOOKUP($D$61&amp;$E$63,[3]Sheet1!$D$4343:$D$4528&amp;[3]Sheet1!$E$4343:$E$4528,[3]Sheet1!$P$4343:$P$4528)</f>
        <v>8.0400000000000003E-3</v>
      </c>
      <c r="Q63" cm="1">
        <f t="array" ref="Q63">_xlfn.XLOOKUP($D$61&amp;$E$63,[3]Sheet1!$D$4343:$D$4528&amp;[3]Sheet1!$E$4343:$E$4528,[3]Sheet1!$Q$4343:$Q$4528)</f>
        <v>2.1999999999999999E-2</v>
      </c>
      <c r="R63" cm="1">
        <f t="array" ref="R63">_xlfn.XLOOKUP($D$61&amp;$E$63,[3]Sheet1!$D$4343:$D$4528&amp;[3]Sheet1!$E$4343:$E$4528,[3]Sheet1!$R$4343:$R$4528)</f>
        <v>7.5500000000000003E-3</v>
      </c>
      <c r="S63" cm="1">
        <f t="array" ref="S63">_xlfn.XLOOKUP($D$61&amp;$E$63,[3]Sheet1!$D$4343:$D$4528&amp;[3]Sheet1!$E$4343:$E$4528,[3]Sheet1!$S$4343:$S$4528)</f>
        <v>3.9100000000000003E-3</v>
      </c>
      <c r="T63" cm="1">
        <f t="array" ref="T63">_xlfn.XLOOKUP($D$61&amp;$E$63,[3]Sheet1!$D$4343:$D$4528&amp;[3]Sheet1!$E$4343:$E$4528,[3]Sheet1!$T$4343:$T$4528)</f>
        <v>3.49E-3</v>
      </c>
      <c r="U63" cm="1">
        <f t="array" ref="U63">_xlfn.XLOOKUP($D$61&amp;$E$63,[3]Sheet1!$D$4343:$D$4528&amp;[3]Sheet1!$E$4343:$E$4528,[3]Sheet1!$U$4343:$U$4528)</f>
        <v>6.1700000000000001E-3</v>
      </c>
      <c r="V63" cm="1">
        <f t="array" ref="V63">_xlfn.XLOOKUP($D$61&amp;$E$63,[3]Sheet1!$D$4343:$D$4528&amp;[3]Sheet1!$E$4343:$E$4528,[3]Sheet1!$V$4343:$V$4528)</f>
        <v>4.0099999999999997E-3</v>
      </c>
      <c r="W63" cm="1">
        <f t="array" ref="W63">_xlfn.XLOOKUP($D$61&amp;$E$63,[3]Sheet1!$D$4343:$D$4528&amp;[3]Sheet1!$E$4343:$E$4528,[3]Sheet1!$W$4343:$W$4528)</f>
        <v>3.3180000000000001E-2</v>
      </c>
    </row>
    <row r="64" spans="2:23" x14ac:dyDescent="0.4">
      <c r="E64" t="s">
        <v>235</v>
      </c>
      <c r="F64" cm="1">
        <f t="array" ref="F64">_xlfn.XLOOKUP($D$61&amp;$E$64,[3]Sheet1!$D$4343:$D$4528&amp;[3]Sheet1!$E$4343:$E$4528,[3]Sheet1!$F$4343:$F$4528)</f>
        <v>1.6979999999999999E-2</v>
      </c>
      <c r="G64" cm="1">
        <f t="array" ref="G64">_xlfn.XLOOKUP($D$61&amp;$E$64,[3]Sheet1!$D$4343:$D$4528&amp;[3]Sheet1!$E$4343:$E$4528,[3]Sheet1!$G$4343:$G$4528)</f>
        <v>1.013E-2</v>
      </c>
      <c r="H64" cm="1">
        <f t="array" ref="H64">_xlfn.XLOOKUP($D$61&amp;$E$64,[3]Sheet1!$D$4343:$D$4528&amp;[3]Sheet1!$E$4343:$E$4528,[3]Sheet1!$H$4343:$H$4528)</f>
        <v>2.836E-2</v>
      </c>
      <c r="I64" cm="1">
        <f t="array" ref="I64">_xlfn.XLOOKUP($D$61&amp;$E$64,[3]Sheet1!$D$4343:$D$4528&amp;[3]Sheet1!$E$4343:$E$4528,[3]Sheet1!$I$4343:$I$4528)</f>
        <v>-1.6119999999999999E-2</v>
      </c>
      <c r="J64" cm="1">
        <f t="array" ref="J64">_xlfn.XLOOKUP($D$61&amp;$E$64,[3]Sheet1!$D$4343:$D$4528&amp;[3]Sheet1!$E$4343:$E$4528,[3]Sheet1!$J$4343:$J$4528)</f>
        <v>-6.1310000000000003E-2</v>
      </c>
      <c r="K64" cm="1">
        <f t="array" ref="K64">_xlfn.XLOOKUP($D$61&amp;$E$64,[3]Sheet1!$D$4343:$D$4528&amp;[3]Sheet1!$E$4343:$E$4528,[3]Sheet1!$K$4343:$K$4528)</f>
        <v>1.8939999999999999E-2</v>
      </c>
      <c r="L64" cm="1">
        <f t="array" ref="L64">_xlfn.XLOOKUP($D$61&amp;$E$64,[3]Sheet1!$D$4343:$D$4528&amp;[3]Sheet1!$E$4343:$E$4528,[3]Sheet1!$L$4343:$L$4528)</f>
        <v>3.0450000000000001E-2</v>
      </c>
      <c r="M64" cm="1">
        <f t="array" ref="M64">_xlfn.XLOOKUP($D$61&amp;$E$64,[3]Sheet1!$D$4343:$D$4528&amp;[3]Sheet1!$E$4343:$E$4528,[3]Sheet1!$M$4343:$M$4528)</f>
        <v>1.3310000000000001E-2</v>
      </c>
      <c r="N64" cm="1">
        <f t="array" ref="N64">_xlfn.XLOOKUP($D$61&amp;$E$64,[3]Sheet1!$D$4343:$D$4528&amp;[3]Sheet1!$E$4343:$E$4528,[3]Sheet1!$N$4343:$N$4528)</f>
        <v>9.9100000000000004E-3</v>
      </c>
      <c r="O64" cm="1">
        <f t="array" ref="O64">_xlfn.XLOOKUP($D$61&amp;$E$64,[3]Sheet1!$D$4343:$D$4528&amp;[3]Sheet1!$E$4343:$E$4528,[3]Sheet1!$O$4343:$O$4528)</f>
        <v>3.0000000000000001E-5</v>
      </c>
      <c r="P64" cm="1">
        <f t="array" ref="P64">_xlfn.XLOOKUP($D$61&amp;$E$64,[3]Sheet1!$D$4343:$D$4528&amp;[3]Sheet1!$E$4343:$E$4528,[3]Sheet1!$P$4343:$P$4528)</f>
        <v>8.8100000000000001E-3</v>
      </c>
      <c r="Q64" cm="1">
        <f t="array" ref="Q64">_xlfn.XLOOKUP($D$61&amp;$E$64,[3]Sheet1!$D$4343:$D$4528&amp;[3]Sheet1!$E$4343:$E$4528,[3]Sheet1!$Q$4343:$Q$4528)</f>
        <v>2.085E-2</v>
      </c>
      <c r="R64" cm="1">
        <f t="array" ref="R64">_xlfn.XLOOKUP($D$61&amp;$E$64,[3]Sheet1!$D$4343:$D$4528&amp;[3]Sheet1!$E$4343:$E$4528,[3]Sheet1!$R$4343:$R$4528)</f>
        <v>7.4999999999999997E-3</v>
      </c>
      <c r="S64" cm="1">
        <f t="array" ref="S64">_xlfn.XLOOKUP($D$61&amp;$E$64,[3]Sheet1!$D$4343:$D$4528&amp;[3]Sheet1!$E$4343:$E$4528,[3]Sheet1!$S$4343:$S$4528)</f>
        <v>4.2500000000000003E-3</v>
      </c>
      <c r="T64" cm="1">
        <f t="array" ref="T64">_xlfn.XLOOKUP($D$61&amp;$E$64,[3]Sheet1!$D$4343:$D$4528&amp;[3]Sheet1!$E$4343:$E$4528,[3]Sheet1!$T$4343:$T$4528)</f>
        <v>4.4299999999999999E-3</v>
      </c>
      <c r="U64" cm="1">
        <f t="array" ref="U64">_xlfn.XLOOKUP($D$61&amp;$E$64,[3]Sheet1!$D$4343:$D$4528&amp;[3]Sheet1!$E$4343:$E$4528,[3]Sheet1!$U$4343:$U$4528)</f>
        <v>8.7000000000000001E-4</v>
      </c>
      <c r="V64" cm="1">
        <f t="array" ref="V64">_xlfn.XLOOKUP($D$61&amp;$E$64,[3]Sheet1!$D$4343:$D$4528&amp;[3]Sheet1!$E$4343:$E$4528,[3]Sheet1!$V$4343:$V$4528)</f>
        <v>1.1220000000000001E-2</v>
      </c>
      <c r="W64" cm="1">
        <f t="array" ref="W64">_xlfn.XLOOKUP($D$61&amp;$E$64,[3]Sheet1!$D$4343:$D$4528&amp;[3]Sheet1!$E$4343:$E$4528,[3]Sheet1!$W$4343:$W$4528)</f>
        <v>2.9229999999999999E-2</v>
      </c>
    </row>
    <row r="65" spans="2:23" x14ac:dyDescent="0.4">
      <c r="E65" t="s">
        <v>236</v>
      </c>
      <c r="F65" cm="1">
        <f t="array" ref="F65">_xlfn.XLOOKUP($D$61&amp;$E$65,[3]Sheet1!$D$4343:$D$4528&amp;[3]Sheet1!$E$4343:$E$4528,[3]Sheet1!$F$4343:$F$4528)</f>
        <v>1.7100000000000001E-2</v>
      </c>
      <c r="G65" cm="1">
        <f t="array" ref="G65">_xlfn.XLOOKUP($D$61&amp;$E$65,[3]Sheet1!$D$4343:$D$4528&amp;[3]Sheet1!$E$4343:$E$4528,[3]Sheet1!$G$4343:$G$4528)</f>
        <v>1.01E-2</v>
      </c>
      <c r="H65" cm="1">
        <f t="array" ref="H65">_xlfn.XLOOKUP($D$61&amp;$E$65,[3]Sheet1!$D$4343:$D$4528&amp;[3]Sheet1!$E$4343:$E$4528,[3]Sheet1!$H$4343:$H$4528)</f>
        <v>2.6440000000000002E-2</v>
      </c>
      <c r="I65" cm="1">
        <f t="array" ref="I65">_xlfn.XLOOKUP($D$61&amp;$E$65,[3]Sheet1!$D$4343:$D$4528&amp;[3]Sheet1!$E$4343:$E$4528,[3]Sheet1!$I$4343:$I$4528)</f>
        <v>-1.891E-2</v>
      </c>
      <c r="J65" cm="1">
        <f t="array" ref="J65">_xlfn.XLOOKUP($D$61&amp;$E$65,[3]Sheet1!$D$4343:$D$4528&amp;[3]Sheet1!$E$4343:$E$4528,[3]Sheet1!$J$4343:$J$4528)</f>
        <v>-6.1510000000000002E-2</v>
      </c>
      <c r="K65" cm="1">
        <f t="array" ref="K65">_xlfn.XLOOKUP($D$61&amp;$E$65,[3]Sheet1!$D$4343:$D$4528&amp;[3]Sheet1!$E$4343:$E$4528,[3]Sheet1!$K$4343:$K$4528)</f>
        <v>1.6910000000000001E-2</v>
      </c>
      <c r="L65" cm="1">
        <f t="array" ref="L65">_xlfn.XLOOKUP($D$61&amp;$E$65,[3]Sheet1!$D$4343:$D$4528&amp;[3]Sheet1!$E$4343:$E$4528,[3]Sheet1!$L$4343:$L$4528)</f>
        <v>2.8459999999999999E-2</v>
      </c>
      <c r="M65" cm="1">
        <f t="array" ref="M65">_xlfn.XLOOKUP($D$61&amp;$E$65,[3]Sheet1!$D$4343:$D$4528&amp;[3]Sheet1!$E$4343:$E$4528,[3]Sheet1!$M$4343:$M$4528)</f>
        <v>1.2749999999999999E-2</v>
      </c>
      <c r="N65" cm="1">
        <f t="array" ref="N65">_xlfn.XLOOKUP($D$61&amp;$E$65,[3]Sheet1!$D$4343:$D$4528&amp;[3]Sheet1!$E$4343:$E$4528,[3]Sheet1!$N$4343:$N$4528)</f>
        <v>8.7100000000000007E-3</v>
      </c>
      <c r="O65" cm="1">
        <f t="array" ref="O65">_xlfn.XLOOKUP($D$61&amp;$E$65,[3]Sheet1!$D$4343:$D$4528&amp;[3]Sheet1!$E$4343:$E$4528,[3]Sheet1!$O$4343:$O$4528)</f>
        <v>-1.3999999999999999E-4</v>
      </c>
      <c r="P65" cm="1">
        <f t="array" ref="P65">_xlfn.XLOOKUP($D$61&amp;$E$65,[3]Sheet1!$D$4343:$D$4528&amp;[3]Sheet1!$E$4343:$E$4528,[3]Sheet1!$P$4343:$P$4528)</f>
        <v>9.6399999999999993E-3</v>
      </c>
      <c r="Q65" cm="1">
        <f t="array" ref="Q65">_xlfn.XLOOKUP($D$61&amp;$E$65,[3]Sheet1!$D$4343:$D$4528&amp;[3]Sheet1!$E$4343:$E$4528,[3]Sheet1!$Q$4343:$Q$4528)</f>
        <v>2.1839999999999998E-2</v>
      </c>
      <c r="R65" cm="1">
        <f t="array" ref="R65">_xlfn.XLOOKUP($D$61&amp;$E$65,[3]Sheet1!$D$4343:$D$4528&amp;[3]Sheet1!$E$4343:$E$4528,[3]Sheet1!$R$4343:$R$4528)</f>
        <v>6.6499999999999997E-3</v>
      </c>
      <c r="S65" cm="1">
        <f t="array" ref="S65">_xlfn.XLOOKUP($D$61&amp;$E$65,[3]Sheet1!$D$4343:$D$4528&amp;[3]Sheet1!$E$4343:$E$4528,[3]Sheet1!$S$4343:$S$4528)</f>
        <v>4.3E-3</v>
      </c>
      <c r="T65" cm="1">
        <f t="array" ref="T65">_xlfn.XLOOKUP($D$61&amp;$E$65,[3]Sheet1!$D$4343:$D$4528&amp;[3]Sheet1!$E$4343:$E$4528,[3]Sheet1!$T$4343:$T$4528)</f>
        <v>4.8799999999999998E-3</v>
      </c>
      <c r="U65" cm="1">
        <f t="array" ref="U65">_xlfn.XLOOKUP($D$61&amp;$E$65,[3]Sheet1!$D$4343:$D$4528&amp;[3]Sheet1!$E$4343:$E$4528,[3]Sheet1!$U$4343:$U$4528)</f>
        <v>2.5699999999999998E-3</v>
      </c>
      <c r="V65" cm="1">
        <f t="array" ref="V65">_xlfn.XLOOKUP($D$61&amp;$E$65,[3]Sheet1!$D$4343:$D$4528&amp;[3]Sheet1!$E$4343:$E$4528,[3]Sheet1!$V$4343:$V$4528)</f>
        <v>3.5899999999999999E-3</v>
      </c>
      <c r="W65" cm="1">
        <f t="array" ref="W65">_xlfn.XLOOKUP($D$61&amp;$E$65,[3]Sheet1!$D$4343:$D$4528&amp;[3]Sheet1!$E$4343:$E$4528,[3]Sheet1!$W$4343:$W$4528)</f>
        <v>3.9730000000000001E-2</v>
      </c>
    </row>
    <row r="66" spans="2:23" x14ac:dyDescent="0.4">
      <c r="E66" t="s">
        <v>237</v>
      </c>
      <c r="F66" cm="1">
        <f t="array" ref="F66">_xlfn.XLOOKUP($D$61&amp;$E$66,[3]Sheet1!$D$4343:$D$4528&amp;[3]Sheet1!$E$4343:$E$4528,[3]Sheet1!$F$4343:$F$4528)</f>
        <v>1.7409999999999998E-2</v>
      </c>
      <c r="G66" cm="1">
        <f t="array" ref="G66">_xlfn.XLOOKUP($D$61&amp;$E$66,[3]Sheet1!$D$4343:$D$4528&amp;[3]Sheet1!$E$4343:$E$4528,[3]Sheet1!$G$4343:$G$4528)</f>
        <v>9.9600000000000001E-3</v>
      </c>
      <c r="H66" cm="1">
        <f t="array" ref="H66">_xlfn.XLOOKUP($D$61&amp;$E$66,[3]Sheet1!$D$4343:$D$4528&amp;[3]Sheet1!$E$4343:$E$4528,[3]Sheet1!$H$4343:$H$4528)</f>
        <v>2.4420000000000001E-2</v>
      </c>
      <c r="I66" cm="1">
        <f t="array" ref="I66">_xlfn.XLOOKUP($D$61&amp;$E$66,[3]Sheet1!$D$4343:$D$4528&amp;[3]Sheet1!$E$4343:$E$4528,[3]Sheet1!$I$4343:$I$4528)</f>
        <v>-2.2200000000000001E-2</v>
      </c>
      <c r="J66" cm="1">
        <f t="array" ref="J66">_xlfn.XLOOKUP($D$61&amp;$E$66,[3]Sheet1!$D$4343:$D$4528&amp;[3]Sheet1!$E$4343:$E$4528,[3]Sheet1!$J$4343:$J$4528)</f>
        <v>-6.1629999999999997E-2</v>
      </c>
      <c r="K66" cm="1">
        <f t="array" ref="K66">_xlfn.XLOOKUP($D$61&amp;$E$66,[3]Sheet1!$D$4343:$D$4528&amp;[3]Sheet1!$E$4343:$E$4528,[3]Sheet1!$K$4343:$K$4528)</f>
        <v>1.653E-2</v>
      </c>
      <c r="L66" cm="1">
        <f t="array" ref="L66">_xlfn.XLOOKUP($D$61&amp;$E$66,[3]Sheet1!$D$4343:$D$4528&amp;[3]Sheet1!$E$4343:$E$4528,[3]Sheet1!$L$4343:$L$4528)</f>
        <v>2.6950000000000002E-2</v>
      </c>
      <c r="M66" cm="1">
        <f t="array" ref="M66">_xlfn.XLOOKUP($D$61&amp;$E$66,[3]Sheet1!$D$4343:$D$4528&amp;[3]Sheet1!$E$4343:$E$4528,[3]Sheet1!$M$4343:$M$4528)</f>
        <v>1.3950000000000001E-2</v>
      </c>
      <c r="N66" cm="1">
        <f t="array" ref="N66">_xlfn.XLOOKUP($D$61&amp;$E$66,[3]Sheet1!$D$4343:$D$4528&amp;[3]Sheet1!$E$4343:$E$4528,[3]Sheet1!$N$4343:$N$4528)</f>
        <v>8.0599999999999995E-3</v>
      </c>
      <c r="O66" cm="1">
        <f t="array" ref="O66">_xlfn.XLOOKUP($D$61&amp;$E$66,[3]Sheet1!$D$4343:$D$4528&amp;[3]Sheet1!$E$4343:$E$4528,[3]Sheet1!$O$4343:$O$4528)</f>
        <v>-7.2000000000000005E-4</v>
      </c>
      <c r="P66" cm="1">
        <f t="array" ref="P66">_xlfn.XLOOKUP($D$61&amp;$E$66,[3]Sheet1!$D$4343:$D$4528&amp;[3]Sheet1!$E$4343:$E$4528,[3]Sheet1!$P$4343:$P$4528)</f>
        <v>9.5600000000000008E-3</v>
      </c>
      <c r="Q66" cm="1">
        <f t="array" ref="Q66">_xlfn.XLOOKUP($D$61&amp;$E$66,[3]Sheet1!$D$4343:$D$4528&amp;[3]Sheet1!$E$4343:$E$4528,[3]Sheet1!$Q$4343:$Q$4528)</f>
        <v>2.2239999999999999E-2</v>
      </c>
      <c r="R66" cm="1">
        <f t="array" ref="R66">_xlfn.XLOOKUP($D$61&amp;$E$66,[3]Sheet1!$D$4343:$D$4528&amp;[3]Sheet1!$E$4343:$E$4528,[3]Sheet1!$R$4343:$R$4528)</f>
        <v>6.0699999999999999E-3</v>
      </c>
      <c r="S66" cm="1">
        <f t="array" ref="S66">_xlfn.XLOOKUP($D$61&amp;$E$66,[3]Sheet1!$D$4343:$D$4528&amp;[3]Sheet1!$E$4343:$E$4528,[3]Sheet1!$S$4343:$S$4528)</f>
        <v>3.2799999999999999E-3</v>
      </c>
      <c r="T66" cm="1">
        <f t="array" ref="T66">_xlfn.XLOOKUP($D$61&amp;$E$66,[3]Sheet1!$D$4343:$D$4528&amp;[3]Sheet1!$E$4343:$E$4528,[3]Sheet1!$T$4343:$T$4528)</f>
        <v>5.0400000000000002E-3</v>
      </c>
      <c r="U66" cm="1">
        <f t="array" ref="U66">_xlfn.XLOOKUP($D$61&amp;$E$66,[3]Sheet1!$D$4343:$D$4528&amp;[3]Sheet1!$E$4343:$E$4528,[3]Sheet1!$U$4343:$U$4528)</f>
        <v>3.46E-3</v>
      </c>
      <c r="V66" cm="1">
        <f t="array" ref="V66">_xlfn.XLOOKUP($D$61&amp;$E$66,[3]Sheet1!$D$4343:$D$4528&amp;[3]Sheet1!$E$4343:$E$4528,[3]Sheet1!$V$4343:$V$4528)</f>
        <v>6.3699999999999998E-3</v>
      </c>
      <c r="W66" cm="1">
        <f t="array" ref="W66">_xlfn.XLOOKUP($D$61&amp;$E$66,[3]Sheet1!$D$4343:$D$4528&amp;[3]Sheet1!$E$4343:$E$4528,[3]Sheet1!$W$4343:$W$4528)</f>
        <v>1.44E-2</v>
      </c>
    </row>
    <row r="67" spans="2:23" x14ac:dyDescent="0.4">
      <c r="C67" t="s">
        <v>257</v>
      </c>
      <c r="D67" t="str">
        <f>$D$8</f>
        <v>新潟市</v>
      </c>
      <c r="E67" t="s">
        <v>232</v>
      </c>
      <c r="F67" cm="1">
        <f t="array" ref="F67">_xlfn.XLOOKUP($D$67&amp;$E$67,[3]Sheet1!$D$4343:$D$4528&amp;[3]Sheet1!$E$4343:$E$4528,[3]Sheet1!$Y$4343:$Y$4528)</f>
        <v>2.0240000000000001E-2</v>
      </c>
      <c r="G67" cm="1">
        <f t="array" ref="G67">_xlfn.XLOOKUP($D$67&amp;$E$67,[3]Sheet1!$D$4343:$D$4528&amp;[3]Sheet1!$E$4343:$E$4528,[3]Sheet1!$Z$4343:$Z$4528)</f>
        <v>1.1730000000000001E-2</v>
      </c>
      <c r="H67" cm="1">
        <f t="array" ref="H67">_xlfn.XLOOKUP($D$67&amp;$E$67,[3]Sheet1!$D$4343:$D$4528&amp;[3]Sheet1!$E$4343:$E$4528,[3]Sheet1!$AA$4343:$AA$4528)</f>
        <v>6.8489999999999995E-2</v>
      </c>
      <c r="I67" cm="1">
        <f t="array" ref="I67">_xlfn.XLOOKUP($D$67&amp;$E$67,[3]Sheet1!$D$4343:$D$4528&amp;[3]Sheet1!$E$4343:$E$4528,[3]Sheet1!$AB$4343:$AB$4528)</f>
        <v>8.7100000000000007E-3</v>
      </c>
      <c r="J67" cm="1">
        <f t="array" ref="J67">_xlfn.XLOOKUP($D$67&amp;$E$67,[3]Sheet1!$D$4343:$D$4528&amp;[3]Sheet1!$E$4343:$E$4528,[3]Sheet1!$AC$4343:$AC$4528)</f>
        <v>-5.0360000000000002E-2</v>
      </c>
      <c r="K67" cm="1">
        <f t="array" ref="K67">_xlfn.XLOOKUP($D$67&amp;$E$67,[3]Sheet1!$D$4343:$D$4528&amp;[3]Sheet1!$E$4343:$E$4528,[3]Sheet1!$AD$4343:$AD$4528)</f>
        <v>1.154E-2</v>
      </c>
      <c r="L67" cm="1">
        <f t="array" ref="L67">_xlfn.XLOOKUP($D$67&amp;$E$67,[3]Sheet1!$D$4343:$D$4528&amp;[3]Sheet1!$E$4343:$E$4528,[3]Sheet1!$AE$4343:$AE$4528)</f>
        <v>1.6080000000000001E-2</v>
      </c>
      <c r="M67" cm="1">
        <f t="array" ref="M67">_xlfn.XLOOKUP($D$67&amp;$E$67,[3]Sheet1!$D$4343:$D$4528&amp;[3]Sheet1!$E$4343:$E$4528,[3]Sheet1!$AF$4343:$AF$4528)</f>
        <v>1.0319999999999999E-2</v>
      </c>
      <c r="N67" cm="1">
        <f t="array" ref="N67">_xlfn.XLOOKUP($D$67&amp;$E$67,[3]Sheet1!$D$4343:$D$4528&amp;[3]Sheet1!$E$4343:$E$4528,[3]Sheet1!$AG$4343:$AG$4528)</f>
        <v>2.47E-3</v>
      </c>
      <c r="O67" cm="1">
        <f t="array" ref="O67">_xlfn.XLOOKUP($D$67&amp;$E$67,[3]Sheet1!$D$4343:$D$4528&amp;[3]Sheet1!$E$4343:$E$4528,[3]Sheet1!$AH$4343:$AH$4528)</f>
        <v>-2.0000000000000002E-5</v>
      </c>
      <c r="P67" cm="1">
        <f t="array" ref="P67">_xlfn.XLOOKUP($D$67&amp;$E$67,[3]Sheet1!$D$4343:$D$4528&amp;[3]Sheet1!$E$4343:$E$4528,[3]Sheet1!$AI$4343:$AI$4528)</f>
        <v>4.1000000000000003E-3</v>
      </c>
      <c r="Q67" cm="1">
        <f t="array" ref="Q67">_xlfn.XLOOKUP($D$67&amp;$E$67,[3]Sheet1!$D$4343:$D$4528&amp;[3]Sheet1!$E$4343:$E$4528,[3]Sheet1!$AJ$4343:$AJ$4528)</f>
        <v>6.5799999999999999E-3</v>
      </c>
      <c r="R67" cm="1">
        <f t="array" ref="R67">_xlfn.XLOOKUP($D$67&amp;$E$67,[3]Sheet1!$D$4343:$D$4528&amp;[3]Sheet1!$E$4343:$E$4528,[3]Sheet1!$AK$4343:$AK$4528)</f>
        <v>3.9300000000000003E-3</v>
      </c>
      <c r="S67" cm="1">
        <f t="array" ref="S67">_xlfn.XLOOKUP($D$67&amp;$E$67,[3]Sheet1!$D$4343:$D$4528&amp;[3]Sheet1!$E$4343:$E$4528,[3]Sheet1!$AL$4343:$AL$4528)</f>
        <v>1.3799999999999999E-3</v>
      </c>
      <c r="T67" cm="1">
        <f t="array" ref="T67">_xlfn.XLOOKUP($D$67&amp;$E$67,[3]Sheet1!$D$4343:$D$4528&amp;[3]Sheet1!$E$4343:$E$4528,[3]Sheet1!$AM$4343:$AM$4528)</f>
        <v>2.64E-3</v>
      </c>
      <c r="U67" cm="1">
        <f t="array" ref="U67">_xlfn.XLOOKUP($D$67&amp;$E$67,[3]Sheet1!$D$4343:$D$4528&amp;[3]Sheet1!$E$4343:$E$4528,[3]Sheet1!$AN$4343:$AN$4528)</f>
        <v>1.1860000000000001E-2</v>
      </c>
      <c r="V67" cm="1">
        <f t="array" ref="V67">_xlfn.XLOOKUP($D$67&amp;$E$67,[3]Sheet1!$D$4343:$D$4528&amp;[3]Sheet1!$E$4343:$E$4528,[3]Sheet1!$AO$4343:$AO$4528)</f>
        <v>1.504E-2</v>
      </c>
      <c r="W67" cm="1">
        <f t="array" ref="W67">_xlfn.XLOOKUP($D$67&amp;$E$67,[3]Sheet1!$D$4343:$D$4528&amp;[3]Sheet1!$E$4343:$E$4528,[3]Sheet1!$AP$4343:$AP$4528)</f>
        <v>6.4149999999999999E-2</v>
      </c>
    </row>
    <row r="68" spans="2:23" x14ac:dyDescent="0.4">
      <c r="E68" t="s">
        <v>233</v>
      </c>
      <c r="F68" cm="1">
        <f t="array" ref="F68">_xlfn.XLOOKUP($D$67&amp;$E$68,[3]Sheet1!$D$4343:$D$4528&amp;[3]Sheet1!$E$4343:$E$4528,[3]Sheet1!$Y$4343:$Y$4528)</f>
        <v>2.0910000000000002E-2</v>
      </c>
      <c r="G68" cm="1">
        <f t="array" ref="G68">_xlfn.XLOOKUP($D$67&amp;$E$68,[3]Sheet1!$D$4343:$D$4528&amp;[3]Sheet1!$E$4343:$E$4528,[3]Sheet1!$Z$4343:$Z$4528)</f>
        <v>1.197E-2</v>
      </c>
      <c r="H68" cm="1">
        <f t="array" ref="H68">_xlfn.XLOOKUP($D$67&amp;$E$68,[3]Sheet1!$D$4343:$D$4528&amp;[3]Sheet1!$E$4343:$E$4528,[3]Sheet1!$AA$4343:$AA$4528)</f>
        <v>6.0359999999999997E-2</v>
      </c>
      <c r="I68" cm="1">
        <f t="array" ref="I68">_xlfn.XLOOKUP($D$67&amp;$E$68,[3]Sheet1!$D$4343:$D$4528&amp;[3]Sheet1!$E$4343:$E$4528,[3]Sheet1!$AB$4343:$AB$4528)</f>
        <v>4.6100000000000004E-3</v>
      </c>
      <c r="J68" cm="1">
        <f t="array" ref="J68">_xlfn.XLOOKUP($D$67&amp;$E$68,[3]Sheet1!$D$4343:$D$4528&amp;[3]Sheet1!$E$4343:$E$4528,[3]Sheet1!$AC$4343:$AC$4528)</f>
        <v>-4.861E-2</v>
      </c>
      <c r="K68" cm="1">
        <f t="array" ref="K68">_xlfn.XLOOKUP($D$67&amp;$E$68,[3]Sheet1!$D$4343:$D$4528&amp;[3]Sheet1!$E$4343:$E$4528,[3]Sheet1!$AD$4343:$AD$4528)</f>
        <v>9.2099999999999994E-3</v>
      </c>
      <c r="L68" cm="1">
        <f t="array" ref="L68">_xlfn.XLOOKUP($D$67&amp;$E$68,[3]Sheet1!$D$4343:$D$4528&amp;[3]Sheet1!$E$4343:$E$4528,[3]Sheet1!$AE$4343:$AE$4528)</f>
        <v>1.8069999999999999E-2</v>
      </c>
      <c r="M68" cm="1">
        <f t="array" ref="M68">_xlfn.XLOOKUP($D$67&amp;$E$68,[3]Sheet1!$D$4343:$D$4528&amp;[3]Sheet1!$E$4343:$E$4528,[3]Sheet1!$AF$4343:$AF$4528)</f>
        <v>1.2840000000000001E-2</v>
      </c>
      <c r="N68" cm="1">
        <f t="array" ref="N68">_xlfn.XLOOKUP($D$67&amp;$E$68,[3]Sheet1!$D$4343:$D$4528&amp;[3]Sheet1!$E$4343:$E$4528,[3]Sheet1!$AG$4343:$AG$4528)</f>
        <v>2.8900000000000002E-3</v>
      </c>
      <c r="O68" cm="1">
        <f t="array" ref="O68">_xlfn.XLOOKUP($D$67&amp;$E$68,[3]Sheet1!$D$4343:$D$4528&amp;[3]Sheet1!$E$4343:$E$4528,[3]Sheet1!$AH$4343:$AH$4528)</f>
        <v>-2.5000000000000001E-4</v>
      </c>
      <c r="P68" cm="1">
        <f t="array" ref="P68">_xlfn.XLOOKUP($D$67&amp;$E$68,[3]Sheet1!$D$4343:$D$4528&amp;[3]Sheet1!$E$4343:$E$4528,[3]Sheet1!$AI$4343:$AI$4528)</f>
        <v>3.9699999999999996E-3</v>
      </c>
      <c r="Q68" cm="1">
        <f t="array" ref="Q68">_xlfn.XLOOKUP($D$67&amp;$E$68,[3]Sheet1!$D$4343:$D$4528&amp;[3]Sheet1!$E$4343:$E$4528,[3]Sheet1!$AJ$4343:$AJ$4528)</f>
        <v>6.7099999999999998E-3</v>
      </c>
      <c r="R68" cm="1">
        <f t="array" ref="R68">_xlfn.XLOOKUP($D$67&amp;$E$68,[3]Sheet1!$D$4343:$D$4528&amp;[3]Sheet1!$E$4343:$E$4528,[3]Sheet1!$AK$4343:$AK$4528)</f>
        <v>4.6299999999999996E-3</v>
      </c>
      <c r="S68" cm="1">
        <f t="array" ref="S68">_xlfn.XLOOKUP($D$67&amp;$E$68,[3]Sheet1!$D$4343:$D$4528&amp;[3]Sheet1!$E$4343:$E$4528,[3]Sheet1!$AL$4343:$AL$4528)</f>
        <v>9.2000000000000003E-4</v>
      </c>
      <c r="T68" cm="1">
        <f t="array" ref="T68">_xlfn.XLOOKUP($D$67&amp;$E$68,[3]Sheet1!$D$4343:$D$4528&amp;[3]Sheet1!$E$4343:$E$4528,[3]Sheet1!$AM$4343:$AM$4528)</f>
        <v>3.8500000000000001E-3</v>
      </c>
      <c r="U68" cm="1">
        <f t="array" ref="U68">_xlfn.XLOOKUP($D$67&amp;$E$68,[3]Sheet1!$D$4343:$D$4528&amp;[3]Sheet1!$E$4343:$E$4528,[3]Sheet1!$AN$4343:$AN$4528)</f>
        <v>1.0370000000000001E-2</v>
      </c>
      <c r="V68" cm="1">
        <f t="array" ref="V68">_xlfn.XLOOKUP($D$67&amp;$E$68,[3]Sheet1!$D$4343:$D$4528&amp;[3]Sheet1!$E$4343:$E$4528,[3]Sheet1!$AO$4343:$AO$4528)</f>
        <v>1.302E-2</v>
      </c>
      <c r="W68" cm="1">
        <f t="array" ref="W68">_xlfn.XLOOKUP($D$67&amp;$E$68,[3]Sheet1!$D$4343:$D$4528&amp;[3]Sheet1!$E$4343:$E$4528,[3]Sheet1!$AP$4343:$AP$4528)</f>
        <v>5.568E-2</v>
      </c>
    </row>
    <row r="69" spans="2:23" x14ac:dyDescent="0.4">
      <c r="E69" t="s">
        <v>234</v>
      </c>
      <c r="F69" cm="1">
        <f t="array" ref="F69">_xlfn.XLOOKUP($D$67&amp;$E$69,[3]Sheet1!$D$4343:$D$4528&amp;[3]Sheet1!$E$4343:$E$4528,[3]Sheet1!$Y$4343:$Y$4528)</f>
        <v>2.1139999999999999E-2</v>
      </c>
      <c r="G69" cm="1">
        <f t="array" ref="G69">_xlfn.XLOOKUP($D$67&amp;$E$69,[3]Sheet1!$D$4343:$D$4528&amp;[3]Sheet1!$E$4343:$E$4528,[3]Sheet1!$Z$4343:$Z$4528)</f>
        <v>1.1820000000000001E-2</v>
      </c>
      <c r="H69" cm="1">
        <f t="array" ref="H69">_xlfn.XLOOKUP($D$67&amp;$E$69,[3]Sheet1!$D$4343:$D$4528&amp;[3]Sheet1!$E$4343:$E$4528,[3]Sheet1!$AA$4343:$AA$4528)</f>
        <v>5.704E-2</v>
      </c>
      <c r="I69" cm="1">
        <f t="array" ref="I69">_xlfn.XLOOKUP($D$67&amp;$E$69,[3]Sheet1!$D$4343:$D$4528&amp;[3]Sheet1!$E$4343:$E$4528,[3]Sheet1!$AB$4343:$AB$4528)</f>
        <v>-4.5799999999999999E-3</v>
      </c>
      <c r="J69" cm="1">
        <f t="array" ref="J69">_xlfn.XLOOKUP($D$67&amp;$E$69,[3]Sheet1!$D$4343:$D$4528&amp;[3]Sheet1!$E$4343:$E$4528,[3]Sheet1!$AC$4343:$AC$4528)</f>
        <v>-4.9730000000000003E-2</v>
      </c>
      <c r="K69" cm="1">
        <f t="array" ref="K69">_xlfn.XLOOKUP($D$67&amp;$E$69,[3]Sheet1!$D$4343:$D$4528&amp;[3]Sheet1!$E$4343:$E$4528,[3]Sheet1!$AD$4343:$AD$4528)</f>
        <v>1.0749999999999999E-2</v>
      </c>
      <c r="L69" cm="1">
        <f t="array" ref="L69">_xlfn.XLOOKUP($D$67&amp;$E$69,[3]Sheet1!$D$4343:$D$4528&amp;[3]Sheet1!$E$4343:$E$4528,[3]Sheet1!$AE$4343:$AE$4528)</f>
        <v>1.6250000000000001E-2</v>
      </c>
      <c r="M69" cm="1">
        <f t="array" ref="M69">_xlfn.XLOOKUP($D$67&amp;$E$69,[3]Sheet1!$D$4343:$D$4528&amp;[3]Sheet1!$E$4343:$E$4528,[3]Sheet1!$AF$4343:$AF$4528)</f>
        <v>1.2239999999999999E-2</v>
      </c>
      <c r="N69" cm="1">
        <f t="array" ref="N69">_xlfn.XLOOKUP($D$67&amp;$E$69,[3]Sheet1!$D$4343:$D$4528&amp;[3]Sheet1!$E$4343:$E$4528,[3]Sheet1!$AG$4343:$AG$4528)</f>
        <v>3.8500000000000001E-3</v>
      </c>
      <c r="O69" cm="1">
        <f t="array" ref="O69">_xlfn.XLOOKUP($D$67&amp;$E$69,[3]Sheet1!$D$4343:$D$4528&amp;[3]Sheet1!$E$4343:$E$4528,[3]Sheet1!$AH$4343:$AH$4528)</f>
        <v>-3.2000000000000003E-4</v>
      </c>
      <c r="P69" cm="1">
        <f t="array" ref="P69">_xlfn.XLOOKUP($D$67&amp;$E$69,[3]Sheet1!$D$4343:$D$4528&amp;[3]Sheet1!$E$4343:$E$4528,[3]Sheet1!$AI$4343:$AI$4528)</f>
        <v>3.81E-3</v>
      </c>
      <c r="Q69" cm="1">
        <f t="array" ref="Q69">_xlfn.XLOOKUP($D$67&amp;$E$69,[3]Sheet1!$D$4343:$D$4528&amp;[3]Sheet1!$E$4343:$E$4528,[3]Sheet1!$AJ$4343:$AJ$4528)</f>
        <v>6.7000000000000002E-3</v>
      </c>
      <c r="R69" cm="1">
        <f t="array" ref="R69">_xlfn.XLOOKUP($D$67&amp;$E$69,[3]Sheet1!$D$4343:$D$4528&amp;[3]Sheet1!$E$4343:$E$4528,[3]Sheet1!$AK$4343:$AK$4528)</f>
        <v>4.6800000000000001E-3</v>
      </c>
      <c r="S69" cm="1">
        <f t="array" ref="S69">_xlfn.XLOOKUP($D$67&amp;$E$69,[3]Sheet1!$D$4343:$D$4528&amp;[3]Sheet1!$E$4343:$E$4528,[3]Sheet1!$AL$4343:$AL$4528)</f>
        <v>1.4E-3</v>
      </c>
      <c r="T69" cm="1">
        <f t="array" ref="T69">_xlfn.XLOOKUP($D$67&amp;$E$69,[3]Sheet1!$D$4343:$D$4528&amp;[3]Sheet1!$E$4343:$E$4528,[3]Sheet1!$AM$4343:$AM$4528)</f>
        <v>2.4199999999999998E-3</v>
      </c>
      <c r="U69" cm="1">
        <f t="array" ref="U69">_xlfn.XLOOKUP($D$67&amp;$E$69,[3]Sheet1!$D$4343:$D$4528&amp;[3]Sheet1!$E$4343:$E$4528,[3]Sheet1!$AN$4343:$AN$4528)</f>
        <v>1.3180000000000001E-2</v>
      </c>
      <c r="V69" cm="1">
        <f t="array" ref="V69">_xlfn.XLOOKUP($D$67&amp;$E$69,[3]Sheet1!$D$4343:$D$4528&amp;[3]Sheet1!$E$4343:$E$4528,[3]Sheet1!$AO$4343:$AO$4528)</f>
        <v>1.057E-2</v>
      </c>
      <c r="W69" cm="1">
        <f t="array" ref="W69">_xlfn.XLOOKUP($D$67&amp;$E$69,[3]Sheet1!$D$4343:$D$4528&amp;[3]Sheet1!$E$4343:$E$4528,[3]Sheet1!$AP$4343:$AP$4528)</f>
        <v>4.453E-2</v>
      </c>
    </row>
    <row r="70" spans="2:23" x14ac:dyDescent="0.4">
      <c r="E70" t="s">
        <v>235</v>
      </c>
      <c r="F70" cm="1">
        <f t="array" ref="F70">_xlfn.XLOOKUP($D$67&amp;$E$70,[3]Sheet1!$D$4343:$D$4528&amp;[3]Sheet1!$E$4343:$E$4528,[3]Sheet1!$Y$4343:$Y$4528)</f>
        <v>2.1520000000000001E-2</v>
      </c>
      <c r="G70" cm="1">
        <f t="array" ref="G70">_xlfn.XLOOKUP($D$67&amp;$E$70,[3]Sheet1!$D$4343:$D$4528&amp;[3]Sheet1!$E$4343:$E$4528,[3]Sheet1!$Z$4343:$Z$4528)</f>
        <v>1.175E-2</v>
      </c>
      <c r="H70" cm="1">
        <f t="array" ref="H70">_xlfn.XLOOKUP($D$67&amp;$E$70,[3]Sheet1!$D$4343:$D$4528&amp;[3]Sheet1!$E$4343:$E$4528,[3]Sheet1!$AA$4343:$AA$4528)</f>
        <v>5.5129999999999998E-2</v>
      </c>
      <c r="I70" cm="1">
        <f t="array" ref="I70">_xlfn.XLOOKUP($D$67&amp;$E$70,[3]Sheet1!$D$4343:$D$4528&amp;[3]Sheet1!$E$4343:$E$4528,[3]Sheet1!$AB$4343:$AB$4528)</f>
        <v>-8.0400000000000003E-3</v>
      </c>
      <c r="J70" cm="1">
        <f t="array" ref="J70">_xlfn.XLOOKUP($D$67&amp;$E$70,[3]Sheet1!$D$4343:$D$4528&amp;[3]Sheet1!$E$4343:$E$4528,[3]Sheet1!$AC$4343:$AC$4528)</f>
        <v>-5.2290000000000003E-2</v>
      </c>
      <c r="K70" cm="1">
        <f t="array" ref="K70">_xlfn.XLOOKUP($D$67&amp;$E$70,[3]Sheet1!$D$4343:$D$4528&amp;[3]Sheet1!$E$4343:$E$4528,[3]Sheet1!$AD$4343:$AD$4528)</f>
        <v>9.4400000000000005E-3</v>
      </c>
      <c r="L70" cm="1">
        <f t="array" ref="L70">_xlfn.XLOOKUP($D$67&amp;$E$70,[3]Sheet1!$D$4343:$D$4528&amp;[3]Sheet1!$E$4343:$E$4528,[3]Sheet1!$AE$4343:$AE$4528)</f>
        <v>1.485E-2</v>
      </c>
      <c r="M70" cm="1">
        <f t="array" ref="M70">_xlfn.XLOOKUP($D$67&amp;$E$70,[3]Sheet1!$D$4343:$D$4528&amp;[3]Sheet1!$E$4343:$E$4528,[3]Sheet1!$AF$4343:$AF$4528)</f>
        <v>1.073E-2</v>
      </c>
      <c r="N70" cm="1">
        <f t="array" ref="N70">_xlfn.XLOOKUP($D$67&amp;$E$70,[3]Sheet1!$D$4343:$D$4528&amp;[3]Sheet1!$E$4343:$E$4528,[3]Sheet1!$AG$4343:$AG$4528)</f>
        <v>3.3899999999999998E-3</v>
      </c>
      <c r="O70" cm="1">
        <f t="array" ref="O70">_xlfn.XLOOKUP($D$67&amp;$E$70,[3]Sheet1!$D$4343:$D$4528&amp;[3]Sheet1!$E$4343:$E$4528,[3]Sheet1!$AH$4343:$AH$4528)</f>
        <v>2.0000000000000001E-4</v>
      </c>
      <c r="P70" cm="1">
        <f t="array" ref="P70">_xlfn.XLOOKUP($D$67&amp;$E$70,[3]Sheet1!$D$4343:$D$4528&amp;[3]Sheet1!$E$4343:$E$4528,[3]Sheet1!$AI$4343:$AI$4528)</f>
        <v>4.3200000000000001E-3</v>
      </c>
      <c r="Q70" cm="1">
        <f t="array" ref="Q70">_xlfn.XLOOKUP($D$67&amp;$E$70,[3]Sheet1!$D$4343:$D$4528&amp;[3]Sheet1!$E$4343:$E$4528,[3]Sheet1!$AJ$4343:$AJ$4528)</f>
        <v>6.5500000000000003E-3</v>
      </c>
      <c r="R70" cm="1">
        <f t="array" ref="R70">_xlfn.XLOOKUP($D$67&amp;$E$70,[3]Sheet1!$D$4343:$D$4528&amp;[3]Sheet1!$E$4343:$E$4528,[3]Sheet1!$AK$4343:$AK$4528)</f>
        <v>4.4900000000000001E-3</v>
      </c>
      <c r="S70" cm="1">
        <f t="array" ref="S70">_xlfn.XLOOKUP($D$67&amp;$E$70,[3]Sheet1!$D$4343:$D$4528&amp;[3]Sheet1!$E$4343:$E$4528,[3]Sheet1!$AL$4343:$AL$4528)</f>
        <v>1.3699999999999999E-3</v>
      </c>
      <c r="T70" cm="1">
        <f t="array" ref="T70">_xlfn.XLOOKUP($D$67&amp;$E$70,[3]Sheet1!$D$4343:$D$4528&amp;[3]Sheet1!$E$4343:$E$4528,[3]Sheet1!$AM$4343:$AM$4528)</f>
        <v>3.13E-3</v>
      </c>
      <c r="U70" cm="1">
        <f t="array" ref="U70">_xlfn.XLOOKUP($D$67&amp;$E$70,[3]Sheet1!$D$4343:$D$4528&amp;[3]Sheet1!$E$4343:$E$4528,[3]Sheet1!$AN$4343:$AN$4528)</f>
        <v>1.0070000000000001E-2</v>
      </c>
      <c r="V70" cm="1">
        <f t="array" ref="V70">_xlfn.XLOOKUP($D$67&amp;$E$70,[3]Sheet1!$D$4343:$D$4528&amp;[3]Sheet1!$E$4343:$E$4528,[3]Sheet1!$AO$4343:$AO$4528)</f>
        <v>1.5699999999999999E-2</v>
      </c>
      <c r="W70" cm="1">
        <f t="array" ref="W70">_xlfn.XLOOKUP($D$67&amp;$E$70,[3]Sheet1!$D$4343:$D$4528&amp;[3]Sheet1!$E$4343:$E$4528,[3]Sheet1!$AP$4343:$AP$4528)</f>
        <v>4.2130000000000001E-2</v>
      </c>
    </row>
    <row r="71" spans="2:23" x14ac:dyDescent="0.4">
      <c r="E71" t="s">
        <v>236</v>
      </c>
      <c r="F71" cm="1">
        <f t="array" ref="F71">_xlfn.XLOOKUP($D$67&amp;$E$71,[3]Sheet1!$D$4343:$D$4528&amp;[3]Sheet1!$E$4343:$E$4528,[3]Sheet1!$Y$4343:$Y$4528)</f>
        <v>2.1610000000000001E-2</v>
      </c>
      <c r="G71" cm="1">
        <f t="array" ref="G71">_xlfn.XLOOKUP($D$67&amp;$E$71,[3]Sheet1!$D$4343:$D$4528&amp;[3]Sheet1!$E$4343:$E$4528,[3]Sheet1!$Z$4343:$Z$4528)</f>
        <v>1.1690000000000001E-2</v>
      </c>
      <c r="H71" cm="1">
        <f t="array" ref="H71">_xlfn.XLOOKUP($D$67&amp;$E$71,[3]Sheet1!$D$4343:$D$4528&amp;[3]Sheet1!$E$4343:$E$4528,[3]Sheet1!$AA$4343:$AA$4528)</f>
        <v>5.2810000000000003E-2</v>
      </c>
      <c r="I71" cm="1">
        <f t="array" ref="I71">_xlfn.XLOOKUP($D$67&amp;$E$71,[3]Sheet1!$D$4343:$D$4528&amp;[3]Sheet1!$E$4343:$E$4528,[3]Sheet1!$AB$4343:$AB$4528)</f>
        <v>-1.034E-2</v>
      </c>
      <c r="J71" cm="1">
        <f t="array" ref="J71">_xlfn.XLOOKUP($D$67&amp;$E$71,[3]Sheet1!$D$4343:$D$4528&amp;[3]Sheet1!$E$4343:$E$4528,[3]Sheet1!$AC$4343:$AC$4528)</f>
        <v>-5.2580000000000002E-2</v>
      </c>
      <c r="K71" cm="1">
        <f t="array" ref="K71">_xlfn.XLOOKUP($D$67&amp;$E$71,[3]Sheet1!$D$4343:$D$4528&amp;[3]Sheet1!$E$4343:$E$4528,[3]Sheet1!$AD$4343:$AD$4528)</f>
        <v>6.9800000000000001E-3</v>
      </c>
      <c r="L71" cm="1">
        <f t="array" ref="L71">_xlfn.XLOOKUP($D$67&amp;$E$71,[3]Sheet1!$D$4343:$D$4528&amp;[3]Sheet1!$E$4343:$E$4528,[3]Sheet1!$AE$4343:$AE$4528)</f>
        <v>1.3769999999999999E-2</v>
      </c>
      <c r="M71" cm="1">
        <f t="array" ref="M71">_xlfn.XLOOKUP($D$67&amp;$E$71,[3]Sheet1!$D$4343:$D$4528&amp;[3]Sheet1!$E$4343:$E$4528,[3]Sheet1!$AF$4343:$AF$4528)</f>
        <v>1.1310000000000001E-2</v>
      </c>
      <c r="N71" cm="1">
        <f t="array" ref="N71">_xlfn.XLOOKUP($D$67&amp;$E$71,[3]Sheet1!$D$4343:$D$4528&amp;[3]Sheet1!$E$4343:$E$4528,[3]Sheet1!$AG$4343:$AG$4528)</f>
        <v>2.5000000000000001E-3</v>
      </c>
      <c r="O71" cm="1">
        <f t="array" ref="O71">_xlfn.XLOOKUP($D$67&amp;$E$71,[3]Sheet1!$D$4343:$D$4528&amp;[3]Sheet1!$E$4343:$E$4528,[3]Sheet1!$AH$4343:$AH$4528)</f>
        <v>-1.0000000000000001E-5</v>
      </c>
      <c r="P71" cm="1">
        <f t="array" ref="P71">_xlfn.XLOOKUP($D$67&amp;$E$71,[3]Sheet1!$D$4343:$D$4528&amp;[3]Sheet1!$E$4343:$E$4528,[3]Sheet1!$AI$4343:$AI$4528)</f>
        <v>4.4900000000000001E-3</v>
      </c>
      <c r="Q71" cm="1">
        <f t="array" ref="Q71">_xlfn.XLOOKUP($D$67&amp;$E$71,[3]Sheet1!$D$4343:$D$4528&amp;[3]Sheet1!$E$4343:$E$4528,[3]Sheet1!$AJ$4343:$AJ$4528)</f>
        <v>7.0200000000000002E-3</v>
      </c>
      <c r="R71" cm="1">
        <f t="array" ref="R71">_xlfn.XLOOKUP($D$67&amp;$E$71,[3]Sheet1!$D$4343:$D$4528&amp;[3]Sheet1!$E$4343:$E$4528,[3]Sheet1!$AK$4343:$AK$4528)</f>
        <v>4.2100000000000002E-3</v>
      </c>
      <c r="S71" cm="1">
        <f t="array" ref="S71">_xlfn.XLOOKUP($D$67&amp;$E$71,[3]Sheet1!$D$4343:$D$4528&amp;[3]Sheet1!$E$4343:$E$4528,[3]Sheet1!$AL$4343:$AL$4528)</f>
        <v>1.4400000000000001E-3</v>
      </c>
      <c r="T71" cm="1">
        <f t="array" ref="T71">_xlfn.XLOOKUP($D$67&amp;$E$71,[3]Sheet1!$D$4343:$D$4528&amp;[3]Sheet1!$E$4343:$E$4528,[3]Sheet1!$AM$4343:$AM$4528)</f>
        <v>3.2799999999999999E-3</v>
      </c>
      <c r="U71" cm="1">
        <f t="array" ref="U71">_xlfn.XLOOKUP($D$67&amp;$E$71,[3]Sheet1!$D$4343:$D$4528&amp;[3]Sheet1!$E$4343:$E$4528,[3]Sheet1!$AN$4343:$AN$4528)</f>
        <v>1.153E-2</v>
      </c>
      <c r="V71" cm="1">
        <f t="array" ref="V71">_xlfn.XLOOKUP($D$67&amp;$E$71,[3]Sheet1!$D$4343:$D$4528&amp;[3]Sheet1!$E$4343:$E$4528,[3]Sheet1!$AO$4343:$AO$4528)</f>
        <v>1.0410000000000001E-2</v>
      </c>
      <c r="W71" cm="1">
        <f t="array" ref="W71">_xlfn.XLOOKUP($D$67&amp;$E$71,[3]Sheet1!$D$4343:$D$4528&amp;[3]Sheet1!$E$4343:$E$4528,[3]Sheet1!$AP$4343:$AP$4528)</f>
        <v>5.1970000000000002E-2</v>
      </c>
    </row>
    <row r="72" spans="2:23" x14ac:dyDescent="0.4">
      <c r="E72" t="s">
        <v>237</v>
      </c>
      <c r="F72" cm="1">
        <f t="array" ref="F72">_xlfn.XLOOKUP($D$67&amp;$E$72,[3]Sheet1!$D$4343:$D$4528&amp;[3]Sheet1!$E$4343:$E$4528,[3]Sheet1!$Y$4343:$Y$4528)</f>
        <v>2.1870000000000001E-2</v>
      </c>
      <c r="G72" cm="1">
        <f t="array" ref="G72">_xlfn.XLOOKUP($D$67&amp;$E$72,[3]Sheet1!$D$4343:$D$4528&amp;[3]Sheet1!$E$4343:$E$4528,[3]Sheet1!$Z$4343:$Z$4528)</f>
        <v>1.1509999999999999E-2</v>
      </c>
      <c r="H72" cm="1">
        <f t="array" ref="H72">_xlfn.XLOOKUP($D$67&amp;$E$72,[3]Sheet1!$D$4343:$D$4528&amp;[3]Sheet1!$E$4343:$E$4528,[3]Sheet1!$AA$4343:$AA$4528)</f>
        <v>5.0310000000000001E-2</v>
      </c>
      <c r="I72" cm="1">
        <f t="array" ref="I72">_xlfn.XLOOKUP($D$67&amp;$E$72,[3]Sheet1!$D$4343:$D$4528&amp;[3]Sheet1!$E$4343:$E$4528,[3]Sheet1!$AB$4343:$AB$4528)</f>
        <v>-1.37E-2</v>
      </c>
      <c r="J72" cm="1">
        <f t="array" ref="J72">_xlfn.XLOOKUP($D$67&amp;$E$72,[3]Sheet1!$D$4343:$D$4528&amp;[3]Sheet1!$E$4343:$E$4528,[3]Sheet1!$AC$4343:$AC$4528)</f>
        <v>-5.2609999999999997E-2</v>
      </c>
      <c r="K72" cm="1">
        <f t="array" ref="K72">_xlfn.XLOOKUP($D$67&amp;$E$72,[3]Sheet1!$D$4343:$D$4528&amp;[3]Sheet1!$E$4343:$E$4528,[3]Sheet1!$AD$4343:$AD$4528)</f>
        <v>7.1399999999999996E-3</v>
      </c>
      <c r="L72" cm="1">
        <f t="array" ref="L72">_xlfn.XLOOKUP($D$67&amp;$E$72,[3]Sheet1!$D$4343:$D$4528&amp;[3]Sheet1!$E$4343:$E$4528,[3]Sheet1!$AE$4343:$AE$4528)</f>
        <v>1.213E-2</v>
      </c>
      <c r="M72" cm="1">
        <f t="array" ref="M72">_xlfn.XLOOKUP($D$67&amp;$E$72,[3]Sheet1!$D$4343:$D$4528&amp;[3]Sheet1!$E$4343:$E$4528,[3]Sheet1!$AF$4343:$AF$4528)</f>
        <v>1.187E-2</v>
      </c>
      <c r="N72" cm="1">
        <f t="array" ref="N72">_xlfn.XLOOKUP($D$67&amp;$E$72,[3]Sheet1!$D$4343:$D$4528&amp;[3]Sheet1!$E$4343:$E$4528,[3]Sheet1!$AG$4343:$AG$4528)</f>
        <v>2.7599999999999999E-3</v>
      </c>
      <c r="O72" cm="1">
        <f t="array" ref="O72">_xlfn.XLOOKUP($D$67&amp;$E$72,[3]Sheet1!$D$4343:$D$4528&amp;[3]Sheet1!$E$4343:$E$4528,[3]Sheet1!$AH$4343:$AH$4528)</f>
        <v>-3.5E-4</v>
      </c>
      <c r="P72" cm="1">
        <f t="array" ref="P72">_xlfn.XLOOKUP($D$67&amp;$E$72,[3]Sheet1!$D$4343:$D$4528&amp;[3]Sheet1!$E$4343:$E$4528,[3]Sheet1!$AI$4343:$AI$4528)</f>
        <v>4.7400000000000003E-3</v>
      </c>
      <c r="Q72" cm="1">
        <f t="array" ref="Q72">_xlfn.XLOOKUP($D$67&amp;$E$72,[3]Sheet1!$D$4343:$D$4528&amp;[3]Sheet1!$E$4343:$E$4528,[3]Sheet1!$AJ$4343:$AJ$4528)</f>
        <v>7.26E-3</v>
      </c>
      <c r="R72" cm="1">
        <f t="array" ref="R72">_xlfn.XLOOKUP($D$67&amp;$E$72,[3]Sheet1!$D$4343:$D$4528&amp;[3]Sheet1!$E$4343:$E$4528,[3]Sheet1!$AK$4343:$AK$4528)</f>
        <v>4.2399999999999998E-3</v>
      </c>
      <c r="S72" cm="1">
        <f t="array" ref="S72">_xlfn.XLOOKUP($D$67&amp;$E$72,[3]Sheet1!$D$4343:$D$4528&amp;[3]Sheet1!$E$4343:$E$4528,[3]Sheet1!$AL$4343:$AL$4528)</f>
        <v>8.9999999999999998E-4</v>
      </c>
      <c r="T72" cm="1">
        <f t="array" ref="T72">_xlfn.XLOOKUP($D$67&amp;$E$72,[3]Sheet1!$D$4343:$D$4528&amp;[3]Sheet1!$E$4343:$E$4528,[3]Sheet1!$AM$4343:$AM$4528)</f>
        <v>3.4399999999999999E-3</v>
      </c>
      <c r="U72" cm="1">
        <f t="array" ref="U72">_xlfn.XLOOKUP($D$67&amp;$E$72,[3]Sheet1!$D$4343:$D$4528&amp;[3]Sheet1!$E$4343:$E$4528,[3]Sheet1!$AN$4343:$AN$4528)</f>
        <v>1.1979999999999999E-2</v>
      </c>
      <c r="V72" cm="1">
        <f t="array" ref="V72">_xlfn.XLOOKUP($D$67&amp;$E$72,[3]Sheet1!$D$4343:$D$4528&amp;[3]Sheet1!$E$4343:$E$4528,[3]Sheet1!$AO$4343:$AO$4528)</f>
        <v>1.3010000000000001E-2</v>
      </c>
      <c r="W72" cm="1">
        <f t="array" ref="W72">_xlfn.XLOOKUP($D$67&amp;$E$72,[3]Sheet1!$D$4343:$D$4528&amp;[3]Sheet1!$E$4343:$E$4528,[3]Sheet1!$AP$4343:$AP$4528)</f>
        <v>2.6790000000000001E-2</v>
      </c>
    </row>
    <row r="74" spans="2:23" x14ac:dyDescent="0.4">
      <c r="B74" t="s">
        <v>261</v>
      </c>
      <c r="D74" t="str">
        <f>$D$8</f>
        <v>新潟市</v>
      </c>
      <c r="E74">
        <v>2020</v>
      </c>
      <c r="F74" cm="1">
        <f t="array" ref="F74">_xlfn.XLOOKUP($D$74&amp;$E$74,[4]Sheet1!$D$4343:$D$4528&amp;[4]Sheet1!$E$4343:$E$4528,[4]Sheet1!$F$4343:$F$4528)</f>
        <v>0.18664</v>
      </c>
    </row>
    <row r="75" spans="2:23" x14ac:dyDescent="0.4">
      <c r="E75">
        <v>2025</v>
      </c>
      <c r="F75" cm="1">
        <f t="array" ref="F75">_xlfn.XLOOKUP($D$74&amp;$E$75,[4]Sheet1!$D$4343:$D$4528&amp;[4]Sheet1!$E$4343:$E$4528,[4]Sheet1!$F$4343:$F$4528)</f>
        <v>0.18618999999999999</v>
      </c>
    </row>
    <row r="76" spans="2:23" x14ac:dyDescent="0.4">
      <c r="E76">
        <v>2030</v>
      </c>
      <c r="F76" cm="1">
        <f t="array" ref="F76">_xlfn.XLOOKUP($D$74&amp;$E$76,[4]Sheet1!$D$4343:$D$4528&amp;[4]Sheet1!$E$4343:$E$4528,[4]Sheet1!$F$4343:$F$4528)</f>
        <v>0.19223999999999999</v>
      </c>
    </row>
    <row r="77" spans="2:23" x14ac:dyDescent="0.4">
      <c r="E77">
        <v>2035</v>
      </c>
      <c r="F77" cm="1">
        <f t="array" ref="F77">_xlfn.XLOOKUP($D$74&amp;$E$77,[4]Sheet1!$D$4343:$D$4528&amp;[4]Sheet1!$E$4343:$E$4528,[4]Sheet1!$F$4343:$F$4528)</f>
        <v>0.19647000000000001</v>
      </c>
    </row>
    <row r="78" spans="2:23" x14ac:dyDescent="0.4">
      <c r="E78">
        <v>2040</v>
      </c>
      <c r="F78" cm="1">
        <f t="array" ref="F78">_xlfn.XLOOKUP($D$74&amp;$E$78,[4]Sheet1!$D$4343:$D$4528&amp;[4]Sheet1!$E$4343:$E$4528,[4]Sheet1!$F$4343:$F$4528)</f>
        <v>0.19678000000000001</v>
      </c>
    </row>
    <row r="79" spans="2:23" x14ac:dyDescent="0.4">
      <c r="E79">
        <v>2045</v>
      </c>
      <c r="F79" cm="1">
        <f t="array" ref="F79">_xlfn.XLOOKUP($D$74&amp;$E$79,[4]Sheet1!$D$4343:$D$4528&amp;[4]Sheet1!$E$4343:$E$4528,[4]Sheet1!$F$4343:$F$4528)</f>
        <v>0.19519</v>
      </c>
    </row>
    <row r="80" spans="2:23" x14ac:dyDescent="0.4">
      <c r="B80" t="s">
        <v>262</v>
      </c>
      <c r="D80" t="str">
        <f>$D$8</f>
        <v>新潟市</v>
      </c>
      <c r="E80">
        <v>2020</v>
      </c>
      <c r="F80" cm="1">
        <f t="array" ref="F80">_xlfn.XLOOKUP($D$80&amp;$E$80,[4]Sheet1!$D$4343:$D$4528&amp;[4]Sheet1!$E$4343:$E$4528,[4]Sheet1!$G$4343:$G$4528)</f>
        <v>105.19616000000001</v>
      </c>
    </row>
    <row r="81" spans="5:6" x14ac:dyDescent="0.4">
      <c r="E81">
        <v>2025</v>
      </c>
      <c r="F81" cm="1">
        <f t="array" ref="F81">_xlfn.XLOOKUP($D$80&amp;$E$81,[4]Sheet1!$D$4343:$D$4528&amp;[4]Sheet1!$E$4343:$E$4528,[4]Sheet1!$G$4343:$G$4528)</f>
        <v>105.19695</v>
      </c>
    </row>
    <row r="82" spans="5:6" x14ac:dyDescent="0.4">
      <c r="E82">
        <v>2030</v>
      </c>
      <c r="F82" cm="1">
        <f t="array" ref="F82">_xlfn.XLOOKUP($D$80&amp;$E$82,[4]Sheet1!$D$4343:$D$4528&amp;[4]Sheet1!$E$4343:$E$4528,[4]Sheet1!$G$4343:$G$4528)</f>
        <v>105.19786000000001</v>
      </c>
    </row>
    <row r="83" spans="5:6" x14ac:dyDescent="0.4">
      <c r="E83">
        <v>2035</v>
      </c>
      <c r="F83" cm="1">
        <f t="array" ref="F83">_xlfn.XLOOKUP($D$80&amp;$E$83,[4]Sheet1!$D$4343:$D$4528&amp;[4]Sheet1!$E$4343:$E$4528,[4]Sheet1!$G$4343:$G$4528)</f>
        <v>105.19837</v>
      </c>
    </row>
    <row r="84" spans="5:6" x14ac:dyDescent="0.4">
      <c r="E84">
        <v>2040</v>
      </c>
      <c r="F84" cm="1">
        <f t="array" ref="F84">_xlfn.XLOOKUP($D$80&amp;$E$84,[4]Sheet1!$D$4343:$D$4528&amp;[4]Sheet1!$E$4343:$E$4528,[4]Sheet1!$G$4343:$G$4528)</f>
        <v>105.1994</v>
      </c>
    </row>
    <row r="85" spans="5:6" x14ac:dyDescent="0.4">
      <c r="E85">
        <v>2045</v>
      </c>
      <c r="F85" cm="1">
        <f t="array" ref="F85">_xlfn.XLOOKUP($D$80&amp;$E$85,[4]Sheet1!$D$4343:$D$4528&amp;[4]Sheet1!$E$4343:$E$4528,[4]Sheet1!$G$4343:$G$4528)</f>
        <v>105.20048</v>
      </c>
    </row>
  </sheetData>
  <mergeCells count="1">
    <mergeCell ref="E4:E5"/>
  </mergeCells>
  <phoneticPr fontId="2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CC430-2BE9-46D2-9563-9620E5E3B177}">
  <sheetPr codeName="Sheet3"/>
  <dimension ref="A1:B175"/>
  <sheetViews>
    <sheetView workbookViewId="0">
      <selection activeCell="B1" sqref="B1"/>
    </sheetView>
  </sheetViews>
  <sheetFormatPr defaultRowHeight="18.75" x14ac:dyDescent="0.4"/>
  <cols>
    <col min="1" max="1" width="36.125" bestFit="1" customWidth="1"/>
  </cols>
  <sheetData>
    <row r="1" spans="1:2" x14ac:dyDescent="0.4">
      <c r="A1" t="s">
        <v>201</v>
      </c>
      <c r="B1" t="s">
        <v>226</v>
      </c>
    </row>
    <row r="2" spans="1:2" x14ac:dyDescent="0.4">
      <c r="A2" t="s">
        <v>26</v>
      </c>
    </row>
    <row r="3" spans="1:2" x14ac:dyDescent="0.4">
      <c r="A3" t="s">
        <v>27</v>
      </c>
      <c r="B3" t="s">
        <v>27</v>
      </c>
    </row>
    <row r="4" spans="1:2" x14ac:dyDescent="0.4">
      <c r="A4" t="s">
        <v>28</v>
      </c>
      <c r="B4" t="s">
        <v>27</v>
      </c>
    </row>
    <row r="5" spans="1:2" x14ac:dyDescent="0.4">
      <c r="A5" t="s">
        <v>29</v>
      </c>
      <c r="B5" t="s">
        <v>27</v>
      </c>
    </row>
    <row r="6" spans="1:2" x14ac:dyDescent="0.4">
      <c r="A6" t="s">
        <v>30</v>
      </c>
      <c r="B6" t="s">
        <v>27</v>
      </c>
    </row>
    <row r="7" spans="1:2" x14ac:dyDescent="0.4">
      <c r="A7" t="s">
        <v>31</v>
      </c>
      <c r="B7" t="s">
        <v>27</v>
      </c>
    </row>
    <row r="8" spans="1:2" x14ac:dyDescent="0.4">
      <c r="A8" t="s">
        <v>32</v>
      </c>
      <c r="B8" t="s">
        <v>27</v>
      </c>
    </row>
    <row r="9" spans="1:2" x14ac:dyDescent="0.4">
      <c r="A9" t="s">
        <v>33</v>
      </c>
      <c r="B9" t="s">
        <v>27</v>
      </c>
    </row>
    <row r="10" spans="1:2" x14ac:dyDescent="0.4">
      <c r="A10" t="s">
        <v>34</v>
      </c>
      <c r="B10" t="s">
        <v>27</v>
      </c>
    </row>
    <row r="11" spans="1:2" x14ac:dyDescent="0.4">
      <c r="A11" t="s">
        <v>35</v>
      </c>
      <c r="B11" t="s">
        <v>27</v>
      </c>
    </row>
    <row r="12" spans="1:2" x14ac:dyDescent="0.4">
      <c r="A12" t="s">
        <v>36</v>
      </c>
      <c r="B12" t="s">
        <v>27</v>
      </c>
    </row>
    <row r="13" spans="1:2" x14ac:dyDescent="0.4">
      <c r="A13" t="s">
        <v>37</v>
      </c>
      <c r="B13" t="s">
        <v>27</v>
      </c>
    </row>
    <row r="14" spans="1:2" x14ac:dyDescent="0.4">
      <c r="A14" t="s">
        <v>38</v>
      </c>
      <c r="B14" t="s">
        <v>27</v>
      </c>
    </row>
    <row r="15" spans="1:2" x14ac:dyDescent="0.4">
      <c r="A15" t="s">
        <v>39</v>
      </c>
      <c r="B15" t="s">
        <v>27</v>
      </c>
    </row>
    <row r="16" spans="1:2" x14ac:dyDescent="0.4">
      <c r="A16" t="s">
        <v>40</v>
      </c>
      <c r="B16" t="s">
        <v>27</v>
      </c>
    </row>
    <row r="17" spans="1:2" x14ac:dyDescent="0.4">
      <c r="A17" t="s">
        <v>41</v>
      </c>
      <c r="B17" t="s">
        <v>27</v>
      </c>
    </row>
    <row r="18" spans="1:2" x14ac:dyDescent="0.4">
      <c r="A18" t="s">
        <v>42</v>
      </c>
      <c r="B18" t="s">
        <v>27</v>
      </c>
    </row>
    <row r="19" spans="1:2" x14ac:dyDescent="0.4">
      <c r="A19" t="s">
        <v>43</v>
      </c>
      <c r="B19" t="s">
        <v>27</v>
      </c>
    </row>
    <row r="20" spans="1:2" x14ac:dyDescent="0.4">
      <c r="A20" t="s">
        <v>44</v>
      </c>
      <c r="B20" t="s">
        <v>27</v>
      </c>
    </row>
    <row r="21" spans="1:2" x14ac:dyDescent="0.4">
      <c r="A21" t="s">
        <v>45</v>
      </c>
      <c r="B21" t="s">
        <v>27</v>
      </c>
    </row>
    <row r="22" spans="1:2" x14ac:dyDescent="0.4">
      <c r="A22" t="s">
        <v>46</v>
      </c>
      <c r="B22" t="s">
        <v>27</v>
      </c>
    </row>
    <row r="23" spans="1:2" x14ac:dyDescent="0.4">
      <c r="A23" t="s">
        <v>47</v>
      </c>
      <c r="B23" t="s">
        <v>27</v>
      </c>
    </row>
    <row r="24" spans="1:2" x14ac:dyDescent="0.4">
      <c r="A24" t="s">
        <v>48</v>
      </c>
      <c r="B24" t="s">
        <v>27</v>
      </c>
    </row>
    <row r="25" spans="1:2" x14ac:dyDescent="0.4">
      <c r="A25" t="s">
        <v>49</v>
      </c>
      <c r="B25" t="s">
        <v>27</v>
      </c>
    </row>
    <row r="26" spans="1:2" x14ac:dyDescent="0.4">
      <c r="A26" t="s">
        <v>50</v>
      </c>
      <c r="B26" t="s">
        <v>27</v>
      </c>
    </row>
    <row r="27" spans="1:2" x14ac:dyDescent="0.4">
      <c r="A27" t="s">
        <v>51</v>
      </c>
      <c r="B27" t="s">
        <v>51</v>
      </c>
    </row>
    <row r="28" spans="1:2" x14ac:dyDescent="0.4">
      <c r="A28" t="s">
        <v>52</v>
      </c>
      <c r="B28" t="s">
        <v>51</v>
      </c>
    </row>
    <row r="29" spans="1:2" x14ac:dyDescent="0.4">
      <c r="A29" t="s">
        <v>53</v>
      </c>
      <c r="B29" t="s">
        <v>51</v>
      </c>
    </row>
    <row r="30" spans="1:2" x14ac:dyDescent="0.4">
      <c r="A30" t="s">
        <v>54</v>
      </c>
      <c r="B30" t="s">
        <v>51</v>
      </c>
    </row>
    <row r="31" spans="1:2" x14ac:dyDescent="0.4">
      <c r="A31" t="s">
        <v>55</v>
      </c>
      <c r="B31" t="s">
        <v>51</v>
      </c>
    </row>
    <row r="32" spans="1:2" x14ac:dyDescent="0.4">
      <c r="A32" t="s">
        <v>56</v>
      </c>
      <c r="B32" t="s">
        <v>51</v>
      </c>
    </row>
    <row r="33" spans="1:2" x14ac:dyDescent="0.4">
      <c r="A33" t="s">
        <v>57</v>
      </c>
      <c r="B33" t="s">
        <v>51</v>
      </c>
    </row>
    <row r="34" spans="1:2" x14ac:dyDescent="0.4">
      <c r="A34" t="s">
        <v>58</v>
      </c>
      <c r="B34" t="s">
        <v>51</v>
      </c>
    </row>
    <row r="35" spans="1:2" x14ac:dyDescent="0.4">
      <c r="A35" t="s">
        <v>59</v>
      </c>
      <c r="B35" t="s">
        <v>51</v>
      </c>
    </row>
    <row r="36" spans="1:2" x14ac:dyDescent="0.4">
      <c r="A36" t="s">
        <v>60</v>
      </c>
      <c r="B36" t="s">
        <v>51</v>
      </c>
    </row>
    <row r="37" spans="1:2" x14ac:dyDescent="0.4">
      <c r="A37" t="s">
        <v>61</v>
      </c>
      <c r="B37" t="s">
        <v>51</v>
      </c>
    </row>
    <row r="38" spans="1:2" x14ac:dyDescent="0.4">
      <c r="A38" t="s">
        <v>62</v>
      </c>
      <c r="B38" t="s">
        <v>51</v>
      </c>
    </row>
    <row r="39" spans="1:2" x14ac:dyDescent="0.4">
      <c r="A39" t="s">
        <v>63</v>
      </c>
      <c r="B39" t="s">
        <v>63</v>
      </c>
    </row>
    <row r="40" spans="1:2" x14ac:dyDescent="0.4">
      <c r="A40" t="s">
        <v>64</v>
      </c>
      <c r="B40" t="s">
        <v>63</v>
      </c>
    </row>
    <row r="41" spans="1:2" x14ac:dyDescent="0.4">
      <c r="A41" t="s">
        <v>65</v>
      </c>
      <c r="B41" t="s">
        <v>63</v>
      </c>
    </row>
    <row r="42" spans="1:2" x14ac:dyDescent="0.4">
      <c r="A42" t="s">
        <v>66</v>
      </c>
      <c r="B42" t="s">
        <v>63</v>
      </c>
    </row>
    <row r="43" spans="1:2" x14ac:dyDescent="0.4">
      <c r="A43" t="s">
        <v>67</v>
      </c>
      <c r="B43" t="s">
        <v>67</v>
      </c>
    </row>
    <row r="44" spans="1:2" x14ac:dyDescent="0.4">
      <c r="A44" t="s">
        <v>68</v>
      </c>
      <c r="B44" t="s">
        <v>67</v>
      </c>
    </row>
    <row r="45" spans="1:2" x14ac:dyDescent="0.4">
      <c r="A45" t="s">
        <v>69</v>
      </c>
      <c r="B45" t="s">
        <v>67</v>
      </c>
    </row>
    <row r="46" spans="1:2" x14ac:dyDescent="0.4">
      <c r="A46" t="s">
        <v>70</v>
      </c>
      <c r="B46" t="s">
        <v>67</v>
      </c>
    </row>
    <row r="47" spans="1:2" x14ac:dyDescent="0.4">
      <c r="A47" t="s">
        <v>71</v>
      </c>
      <c r="B47" t="s">
        <v>71</v>
      </c>
    </row>
    <row r="48" spans="1:2" x14ac:dyDescent="0.4">
      <c r="A48" t="s">
        <v>72</v>
      </c>
      <c r="B48" t="s">
        <v>71</v>
      </c>
    </row>
    <row r="49" spans="1:2" x14ac:dyDescent="0.4">
      <c r="A49" t="s">
        <v>73</v>
      </c>
      <c r="B49" t="s">
        <v>71</v>
      </c>
    </row>
    <row r="50" spans="1:2" x14ac:dyDescent="0.4">
      <c r="A50" t="s">
        <v>74</v>
      </c>
      <c r="B50" t="s">
        <v>71</v>
      </c>
    </row>
    <row r="51" spans="1:2" x14ac:dyDescent="0.4">
      <c r="A51" t="s">
        <v>75</v>
      </c>
      <c r="B51" t="s">
        <v>71</v>
      </c>
    </row>
    <row r="52" spans="1:2" x14ac:dyDescent="0.4">
      <c r="A52" t="s">
        <v>76</v>
      </c>
      <c r="B52" t="s">
        <v>76</v>
      </c>
    </row>
    <row r="53" spans="1:2" x14ac:dyDescent="0.4">
      <c r="A53" t="s">
        <v>77</v>
      </c>
      <c r="B53" t="s">
        <v>77</v>
      </c>
    </row>
    <row r="54" spans="1:2" x14ac:dyDescent="0.4">
      <c r="A54" t="s">
        <v>78</v>
      </c>
      <c r="B54" t="s">
        <v>78</v>
      </c>
    </row>
    <row r="55" spans="1:2" x14ac:dyDescent="0.4">
      <c r="A55" t="s">
        <v>79</v>
      </c>
      <c r="B55" t="s">
        <v>78</v>
      </c>
    </row>
    <row r="56" spans="1:2" x14ac:dyDescent="0.4">
      <c r="A56" t="s">
        <v>80</v>
      </c>
      <c r="B56" t="s">
        <v>78</v>
      </c>
    </row>
    <row r="57" spans="1:2" x14ac:dyDescent="0.4">
      <c r="A57" t="s">
        <v>81</v>
      </c>
      <c r="B57" t="s">
        <v>78</v>
      </c>
    </row>
    <row r="58" spans="1:2" x14ac:dyDescent="0.4">
      <c r="A58" t="s">
        <v>82</v>
      </c>
      <c r="B58" t="s">
        <v>78</v>
      </c>
    </row>
    <row r="59" spans="1:2" x14ac:dyDescent="0.4">
      <c r="A59" t="s">
        <v>83</v>
      </c>
      <c r="B59" t="s">
        <v>78</v>
      </c>
    </row>
    <row r="60" spans="1:2" x14ac:dyDescent="0.4">
      <c r="A60" t="s">
        <v>84</v>
      </c>
      <c r="B60" t="s">
        <v>84</v>
      </c>
    </row>
    <row r="61" spans="1:2" x14ac:dyDescent="0.4">
      <c r="A61" t="s">
        <v>85</v>
      </c>
      <c r="B61" t="s">
        <v>85</v>
      </c>
    </row>
    <row r="62" spans="1:2" x14ac:dyDescent="0.4">
      <c r="A62" t="s">
        <v>86</v>
      </c>
      <c r="B62" t="s">
        <v>85</v>
      </c>
    </row>
    <row r="63" spans="1:2" x14ac:dyDescent="0.4">
      <c r="A63" t="s">
        <v>87</v>
      </c>
      <c r="B63" t="s">
        <v>85</v>
      </c>
    </row>
    <row r="64" spans="1:2" x14ac:dyDescent="0.4">
      <c r="A64" t="s">
        <v>88</v>
      </c>
      <c r="B64" t="s">
        <v>85</v>
      </c>
    </row>
    <row r="65" spans="1:2" x14ac:dyDescent="0.4">
      <c r="A65" t="s">
        <v>89</v>
      </c>
      <c r="B65" t="s">
        <v>85</v>
      </c>
    </row>
    <row r="66" spans="1:2" x14ac:dyDescent="0.4">
      <c r="A66" t="s">
        <v>90</v>
      </c>
      <c r="B66" t="s">
        <v>85</v>
      </c>
    </row>
    <row r="67" spans="1:2" x14ac:dyDescent="0.4">
      <c r="A67" t="s">
        <v>91</v>
      </c>
      <c r="B67" t="s">
        <v>91</v>
      </c>
    </row>
    <row r="68" spans="1:2" x14ac:dyDescent="0.4">
      <c r="A68" t="s">
        <v>92</v>
      </c>
      <c r="B68" t="s">
        <v>91</v>
      </c>
    </row>
    <row r="69" spans="1:2" x14ac:dyDescent="0.4">
      <c r="A69" t="s">
        <v>93</v>
      </c>
      <c r="B69" t="s">
        <v>91</v>
      </c>
    </row>
    <row r="70" spans="1:2" x14ac:dyDescent="0.4">
      <c r="A70" t="s">
        <v>94</v>
      </c>
      <c r="B70" t="s">
        <v>91</v>
      </c>
    </row>
    <row r="71" spans="1:2" x14ac:dyDescent="0.4">
      <c r="A71" t="s">
        <v>95</v>
      </c>
      <c r="B71" t="s">
        <v>95</v>
      </c>
    </row>
    <row r="72" spans="1:2" x14ac:dyDescent="0.4">
      <c r="A72" t="s">
        <v>96</v>
      </c>
      <c r="B72" t="s">
        <v>95</v>
      </c>
    </row>
    <row r="73" spans="1:2" x14ac:dyDescent="0.4">
      <c r="A73" t="s">
        <v>97</v>
      </c>
      <c r="B73" t="s">
        <v>95</v>
      </c>
    </row>
    <row r="74" spans="1:2" x14ac:dyDescent="0.4">
      <c r="A74" t="s">
        <v>98</v>
      </c>
      <c r="B74" t="s">
        <v>95</v>
      </c>
    </row>
    <row r="75" spans="1:2" x14ac:dyDescent="0.4">
      <c r="A75" t="s">
        <v>99</v>
      </c>
      <c r="B75" t="s">
        <v>99</v>
      </c>
    </row>
    <row r="76" spans="1:2" x14ac:dyDescent="0.4">
      <c r="A76" t="s">
        <v>100</v>
      </c>
      <c r="B76" t="s">
        <v>99</v>
      </c>
    </row>
    <row r="77" spans="1:2" x14ac:dyDescent="0.4">
      <c r="A77" t="s">
        <v>101</v>
      </c>
      <c r="B77" t="s">
        <v>99</v>
      </c>
    </row>
    <row r="78" spans="1:2" x14ac:dyDescent="0.4">
      <c r="A78" t="s">
        <v>102</v>
      </c>
      <c r="B78" t="s">
        <v>99</v>
      </c>
    </row>
    <row r="79" spans="1:2" x14ac:dyDescent="0.4">
      <c r="A79" t="s">
        <v>103</v>
      </c>
      <c r="B79" t="s">
        <v>103</v>
      </c>
    </row>
    <row r="80" spans="1:2" x14ac:dyDescent="0.4">
      <c r="A80" t="s">
        <v>104</v>
      </c>
      <c r="B80" t="s">
        <v>103</v>
      </c>
    </row>
    <row r="81" spans="1:2" x14ac:dyDescent="0.4">
      <c r="A81" t="s">
        <v>105</v>
      </c>
      <c r="B81" t="s">
        <v>103</v>
      </c>
    </row>
    <row r="82" spans="1:2" x14ac:dyDescent="0.4">
      <c r="A82" t="s">
        <v>106</v>
      </c>
      <c r="B82" t="s">
        <v>106</v>
      </c>
    </row>
    <row r="83" spans="1:2" x14ac:dyDescent="0.4">
      <c r="A83" t="s">
        <v>107</v>
      </c>
      <c r="B83" t="s">
        <v>106</v>
      </c>
    </row>
    <row r="84" spans="1:2" x14ac:dyDescent="0.4">
      <c r="A84" t="s">
        <v>108</v>
      </c>
      <c r="B84" t="s">
        <v>106</v>
      </c>
    </row>
    <row r="85" spans="1:2" x14ac:dyDescent="0.4">
      <c r="A85" t="s">
        <v>109</v>
      </c>
      <c r="B85" t="s">
        <v>106</v>
      </c>
    </row>
    <row r="86" spans="1:2" x14ac:dyDescent="0.4">
      <c r="A86" t="s">
        <v>110</v>
      </c>
      <c r="B86" t="s">
        <v>106</v>
      </c>
    </row>
    <row r="87" spans="1:2" x14ac:dyDescent="0.4">
      <c r="A87" t="s">
        <v>111</v>
      </c>
      <c r="B87" t="s">
        <v>106</v>
      </c>
    </row>
    <row r="88" spans="1:2" x14ac:dyDescent="0.4">
      <c r="A88" t="s">
        <v>112</v>
      </c>
      <c r="B88" t="s">
        <v>106</v>
      </c>
    </row>
    <row r="89" spans="1:2" x14ac:dyDescent="0.4">
      <c r="A89" t="s">
        <v>113</v>
      </c>
      <c r="B89" t="s">
        <v>106</v>
      </c>
    </row>
    <row r="90" spans="1:2" x14ac:dyDescent="0.4">
      <c r="A90" t="s">
        <v>114</v>
      </c>
      <c r="B90" t="s">
        <v>106</v>
      </c>
    </row>
    <row r="91" spans="1:2" x14ac:dyDescent="0.4">
      <c r="A91" t="s">
        <v>115</v>
      </c>
      <c r="B91" t="s">
        <v>106</v>
      </c>
    </row>
    <row r="92" spans="1:2" x14ac:dyDescent="0.4">
      <c r="A92" t="s">
        <v>116</v>
      </c>
      <c r="B92" t="s">
        <v>106</v>
      </c>
    </row>
    <row r="93" spans="1:2" x14ac:dyDescent="0.4">
      <c r="A93" t="s">
        <v>117</v>
      </c>
      <c r="B93" t="s">
        <v>106</v>
      </c>
    </row>
    <row r="94" spans="1:2" x14ac:dyDescent="0.4">
      <c r="A94" t="s">
        <v>118</v>
      </c>
      <c r="B94" t="s">
        <v>106</v>
      </c>
    </row>
    <row r="95" spans="1:2" x14ac:dyDescent="0.4">
      <c r="A95" t="s">
        <v>119</v>
      </c>
      <c r="B95" t="s">
        <v>106</v>
      </c>
    </row>
    <row r="96" spans="1:2" x14ac:dyDescent="0.4">
      <c r="A96" t="s">
        <v>120</v>
      </c>
      <c r="B96" t="s">
        <v>106</v>
      </c>
    </row>
    <row r="97" spans="1:2" x14ac:dyDescent="0.4">
      <c r="A97" t="s">
        <v>121</v>
      </c>
      <c r="B97" t="s">
        <v>121</v>
      </c>
    </row>
    <row r="98" spans="1:2" x14ac:dyDescent="0.4">
      <c r="A98" t="s">
        <v>122</v>
      </c>
      <c r="B98" t="s">
        <v>121</v>
      </c>
    </row>
    <row r="99" spans="1:2" x14ac:dyDescent="0.4">
      <c r="A99" t="s">
        <v>123</v>
      </c>
      <c r="B99" t="s">
        <v>121</v>
      </c>
    </row>
    <row r="100" spans="1:2" x14ac:dyDescent="0.4">
      <c r="A100" t="s">
        <v>124</v>
      </c>
      <c r="B100" t="s">
        <v>121</v>
      </c>
    </row>
    <row r="101" spans="1:2" x14ac:dyDescent="0.4">
      <c r="A101" t="s">
        <v>125</v>
      </c>
      <c r="B101" t="s">
        <v>121</v>
      </c>
    </row>
    <row r="102" spans="1:2" x14ac:dyDescent="0.4">
      <c r="A102" t="s">
        <v>126</v>
      </c>
      <c r="B102" t="s">
        <v>126</v>
      </c>
    </row>
    <row r="103" spans="1:2" x14ac:dyDescent="0.4">
      <c r="A103" t="s">
        <v>127</v>
      </c>
      <c r="B103" t="s">
        <v>126</v>
      </c>
    </row>
    <row r="104" spans="1:2" x14ac:dyDescent="0.4">
      <c r="A104" t="s">
        <v>128</v>
      </c>
      <c r="B104" t="s">
        <v>126</v>
      </c>
    </row>
    <row r="105" spans="1:2" x14ac:dyDescent="0.4">
      <c r="A105" t="s">
        <v>129</v>
      </c>
      <c r="B105" t="s">
        <v>126</v>
      </c>
    </row>
    <row r="106" spans="1:2" x14ac:dyDescent="0.4">
      <c r="A106" t="s">
        <v>130</v>
      </c>
      <c r="B106" t="s">
        <v>126</v>
      </c>
    </row>
    <row r="107" spans="1:2" x14ac:dyDescent="0.4">
      <c r="A107" t="s">
        <v>131</v>
      </c>
      <c r="B107" t="s">
        <v>126</v>
      </c>
    </row>
    <row r="108" spans="1:2" x14ac:dyDescent="0.4">
      <c r="A108" t="s">
        <v>132</v>
      </c>
      <c r="B108" t="s">
        <v>126</v>
      </c>
    </row>
    <row r="109" spans="1:2" x14ac:dyDescent="0.4">
      <c r="A109" t="s">
        <v>133</v>
      </c>
      <c r="B109" t="s">
        <v>126</v>
      </c>
    </row>
    <row r="110" spans="1:2" x14ac:dyDescent="0.4">
      <c r="A110" t="s">
        <v>134</v>
      </c>
      <c r="B110" t="s">
        <v>126</v>
      </c>
    </row>
    <row r="111" spans="1:2" x14ac:dyDescent="0.4">
      <c r="A111" t="s">
        <v>135</v>
      </c>
      <c r="B111" t="s">
        <v>126</v>
      </c>
    </row>
    <row r="112" spans="1:2" x14ac:dyDescent="0.4">
      <c r="A112" t="s">
        <v>136</v>
      </c>
      <c r="B112" t="s">
        <v>126</v>
      </c>
    </row>
    <row r="113" spans="1:2" x14ac:dyDescent="0.4">
      <c r="A113" t="s">
        <v>137</v>
      </c>
      <c r="B113" t="s">
        <v>137</v>
      </c>
    </row>
    <row r="114" spans="1:2" x14ac:dyDescent="0.4">
      <c r="A114" t="s">
        <v>138</v>
      </c>
      <c r="B114" t="s">
        <v>137</v>
      </c>
    </row>
    <row r="115" spans="1:2" x14ac:dyDescent="0.4">
      <c r="A115" t="s">
        <v>139</v>
      </c>
      <c r="B115" t="s">
        <v>137</v>
      </c>
    </row>
    <row r="116" spans="1:2" x14ac:dyDescent="0.4">
      <c r="A116" t="s">
        <v>140</v>
      </c>
      <c r="B116" t="s">
        <v>137</v>
      </c>
    </row>
    <row r="117" spans="1:2" x14ac:dyDescent="0.4">
      <c r="A117" t="s">
        <v>141</v>
      </c>
      <c r="B117" t="s">
        <v>137</v>
      </c>
    </row>
    <row r="118" spans="1:2" x14ac:dyDescent="0.4">
      <c r="A118" t="s">
        <v>142</v>
      </c>
      <c r="B118" t="s">
        <v>137</v>
      </c>
    </row>
    <row r="119" spans="1:2" x14ac:dyDescent="0.4">
      <c r="A119" t="s">
        <v>143</v>
      </c>
      <c r="B119" t="s">
        <v>137</v>
      </c>
    </row>
    <row r="120" spans="1:2" x14ac:dyDescent="0.4">
      <c r="A120" t="s">
        <v>144</v>
      </c>
      <c r="B120" t="s">
        <v>144</v>
      </c>
    </row>
    <row r="121" spans="1:2" x14ac:dyDescent="0.4">
      <c r="A121" t="s">
        <v>145</v>
      </c>
      <c r="B121" t="s">
        <v>144</v>
      </c>
    </row>
    <row r="122" spans="1:2" x14ac:dyDescent="0.4">
      <c r="A122" t="s">
        <v>146</v>
      </c>
      <c r="B122" t="s">
        <v>144</v>
      </c>
    </row>
    <row r="123" spans="1:2" x14ac:dyDescent="0.4">
      <c r="A123" t="s">
        <v>147</v>
      </c>
      <c r="B123" t="s">
        <v>144</v>
      </c>
    </row>
    <row r="124" spans="1:2" x14ac:dyDescent="0.4">
      <c r="A124" t="s">
        <v>148</v>
      </c>
      <c r="B124" t="s">
        <v>148</v>
      </c>
    </row>
    <row r="125" spans="1:2" x14ac:dyDescent="0.4">
      <c r="A125" t="s">
        <v>149</v>
      </c>
      <c r="B125" t="s">
        <v>148</v>
      </c>
    </row>
    <row r="126" spans="1:2" x14ac:dyDescent="0.4">
      <c r="A126" t="s">
        <v>150</v>
      </c>
      <c r="B126" t="s">
        <v>148</v>
      </c>
    </row>
    <row r="127" spans="1:2" x14ac:dyDescent="0.4">
      <c r="A127" t="s">
        <v>151</v>
      </c>
      <c r="B127" t="s">
        <v>151</v>
      </c>
    </row>
    <row r="128" spans="1:2" x14ac:dyDescent="0.4">
      <c r="A128" t="s">
        <v>152</v>
      </c>
      <c r="B128" t="s">
        <v>152</v>
      </c>
    </row>
    <row r="129" spans="1:2" x14ac:dyDescent="0.4">
      <c r="A129" t="s">
        <v>153</v>
      </c>
      <c r="B129" t="s">
        <v>153</v>
      </c>
    </row>
    <row r="130" spans="1:2" x14ac:dyDescent="0.4">
      <c r="A130" t="s">
        <v>154</v>
      </c>
      <c r="B130" t="s">
        <v>154</v>
      </c>
    </row>
    <row r="131" spans="1:2" x14ac:dyDescent="0.4">
      <c r="A131" t="s">
        <v>155</v>
      </c>
      <c r="B131" t="s">
        <v>155</v>
      </c>
    </row>
    <row r="132" spans="1:2" x14ac:dyDescent="0.4">
      <c r="A132" t="s">
        <v>156</v>
      </c>
      <c r="B132" t="s">
        <v>156</v>
      </c>
    </row>
    <row r="133" spans="1:2" x14ac:dyDescent="0.4">
      <c r="A133" t="s">
        <v>157</v>
      </c>
      <c r="B133" t="s">
        <v>157</v>
      </c>
    </row>
    <row r="134" spans="1:2" x14ac:dyDescent="0.4">
      <c r="A134" t="s">
        <v>158</v>
      </c>
      <c r="B134" t="s">
        <v>158</v>
      </c>
    </row>
    <row r="135" spans="1:2" x14ac:dyDescent="0.4">
      <c r="A135" t="s">
        <v>159</v>
      </c>
      <c r="B135" t="s">
        <v>158</v>
      </c>
    </row>
    <row r="136" spans="1:2" x14ac:dyDescent="0.4">
      <c r="A136" t="s">
        <v>160</v>
      </c>
      <c r="B136" t="s">
        <v>158</v>
      </c>
    </row>
    <row r="137" spans="1:2" x14ac:dyDescent="0.4">
      <c r="A137" t="s">
        <v>161</v>
      </c>
      <c r="B137" t="s">
        <v>158</v>
      </c>
    </row>
    <row r="138" spans="1:2" x14ac:dyDescent="0.4">
      <c r="A138" t="s">
        <v>162</v>
      </c>
      <c r="B138" t="s">
        <v>158</v>
      </c>
    </row>
    <row r="139" spans="1:2" x14ac:dyDescent="0.4">
      <c r="A139" t="s">
        <v>163</v>
      </c>
      <c r="B139" t="s">
        <v>163</v>
      </c>
    </row>
    <row r="140" spans="1:2" x14ac:dyDescent="0.4">
      <c r="A140" t="s">
        <v>164</v>
      </c>
      <c r="B140" t="s">
        <v>164</v>
      </c>
    </row>
    <row r="141" spans="1:2" x14ac:dyDescent="0.4">
      <c r="A141" t="s">
        <v>165</v>
      </c>
      <c r="B141" t="s">
        <v>165</v>
      </c>
    </row>
    <row r="142" spans="1:2" x14ac:dyDescent="0.4">
      <c r="A142" t="s">
        <v>166</v>
      </c>
      <c r="B142" t="s">
        <v>166</v>
      </c>
    </row>
    <row r="143" spans="1:2" x14ac:dyDescent="0.4">
      <c r="A143" t="s">
        <v>167</v>
      </c>
      <c r="B143" t="s">
        <v>167</v>
      </c>
    </row>
    <row r="144" spans="1:2" x14ac:dyDescent="0.4">
      <c r="A144" t="s">
        <v>168</v>
      </c>
      <c r="B144" t="s">
        <v>168</v>
      </c>
    </row>
    <row r="145" spans="1:2" x14ac:dyDescent="0.4">
      <c r="A145" t="s">
        <v>169</v>
      </c>
      <c r="B145" t="s">
        <v>169</v>
      </c>
    </row>
    <row r="146" spans="1:2" x14ac:dyDescent="0.4">
      <c r="A146" t="s">
        <v>170</v>
      </c>
      <c r="B146" t="s">
        <v>170</v>
      </c>
    </row>
    <row r="147" spans="1:2" x14ac:dyDescent="0.4">
      <c r="A147" t="s">
        <v>171</v>
      </c>
      <c r="B147" t="s">
        <v>171</v>
      </c>
    </row>
    <row r="148" spans="1:2" x14ac:dyDescent="0.4">
      <c r="A148" t="s">
        <v>172</v>
      </c>
      <c r="B148" t="s">
        <v>172</v>
      </c>
    </row>
    <row r="149" spans="1:2" x14ac:dyDescent="0.4">
      <c r="A149" t="s">
        <v>173</v>
      </c>
      <c r="B149" t="s">
        <v>173</v>
      </c>
    </row>
    <row r="150" spans="1:2" x14ac:dyDescent="0.4">
      <c r="A150" t="s">
        <v>174</v>
      </c>
    </row>
    <row r="151" spans="1:2" x14ac:dyDescent="0.4">
      <c r="A151" t="s">
        <v>175</v>
      </c>
      <c r="B151" t="s">
        <v>27</v>
      </c>
    </row>
    <row r="152" spans="1:2" x14ac:dyDescent="0.4">
      <c r="A152" t="s">
        <v>176</v>
      </c>
      <c r="B152" t="s">
        <v>27</v>
      </c>
    </row>
    <row r="153" spans="1:2" x14ac:dyDescent="0.4">
      <c r="A153" t="s">
        <v>177</v>
      </c>
      <c r="B153" t="s">
        <v>27</v>
      </c>
    </row>
    <row r="154" spans="1:2" x14ac:dyDescent="0.4">
      <c r="A154" t="s">
        <v>178</v>
      </c>
      <c r="B154" t="s">
        <v>27</v>
      </c>
    </row>
    <row r="155" spans="1:2" x14ac:dyDescent="0.4">
      <c r="A155" t="s">
        <v>179</v>
      </c>
      <c r="B155" t="s">
        <v>27</v>
      </c>
    </row>
    <row r="156" spans="1:2" x14ac:dyDescent="0.4">
      <c r="A156" t="s">
        <v>180</v>
      </c>
      <c r="B156" t="s">
        <v>27</v>
      </c>
    </row>
    <row r="157" spans="1:2" x14ac:dyDescent="0.4">
      <c r="A157" t="s">
        <v>181</v>
      </c>
      <c r="B157" t="s">
        <v>27</v>
      </c>
    </row>
    <row r="158" spans="1:2" x14ac:dyDescent="0.4">
      <c r="A158" t="s">
        <v>182</v>
      </c>
      <c r="B158" t="s">
        <v>27</v>
      </c>
    </row>
    <row r="159" spans="1:2" x14ac:dyDescent="0.4">
      <c r="A159" t="s">
        <v>183</v>
      </c>
      <c r="B159" t="s">
        <v>27</v>
      </c>
    </row>
    <row r="160" spans="1:2" x14ac:dyDescent="0.4">
      <c r="A160" t="s">
        <v>184</v>
      </c>
      <c r="B160" t="s">
        <v>51</v>
      </c>
    </row>
    <row r="161" spans="1:2" x14ac:dyDescent="0.4">
      <c r="A161" t="s">
        <v>185</v>
      </c>
      <c r="B161" t="s">
        <v>210</v>
      </c>
    </row>
    <row r="162" spans="1:2" x14ac:dyDescent="0.4">
      <c r="A162" t="s">
        <v>186</v>
      </c>
      <c r="B162" t="s">
        <v>211</v>
      </c>
    </row>
    <row r="163" spans="1:2" x14ac:dyDescent="0.4">
      <c r="A163" t="s">
        <v>187</v>
      </c>
      <c r="B163" t="s">
        <v>212</v>
      </c>
    </row>
    <row r="164" spans="1:2" x14ac:dyDescent="0.4">
      <c r="A164" t="s">
        <v>188</v>
      </c>
      <c r="B164" t="s">
        <v>213</v>
      </c>
    </row>
    <row r="165" spans="1:2" x14ac:dyDescent="0.4">
      <c r="A165" t="s">
        <v>189</v>
      </c>
      <c r="B165" t="s">
        <v>214</v>
      </c>
    </row>
    <row r="166" spans="1:2" x14ac:dyDescent="0.4">
      <c r="A166" t="s">
        <v>190</v>
      </c>
      <c r="B166" t="s">
        <v>215</v>
      </c>
    </row>
    <row r="167" spans="1:2" x14ac:dyDescent="0.4">
      <c r="A167" t="s">
        <v>191</v>
      </c>
      <c r="B167" t="s">
        <v>216</v>
      </c>
    </row>
    <row r="168" spans="1:2" x14ac:dyDescent="0.4">
      <c r="A168" t="s">
        <v>192</v>
      </c>
      <c r="B168" t="s">
        <v>217</v>
      </c>
    </row>
    <row r="169" spans="1:2" x14ac:dyDescent="0.4">
      <c r="A169" t="s">
        <v>193</v>
      </c>
      <c r="B169" t="s">
        <v>218</v>
      </c>
    </row>
    <row r="170" spans="1:2" x14ac:dyDescent="0.4">
      <c r="A170" t="s">
        <v>194</v>
      </c>
      <c r="B170" t="s">
        <v>219</v>
      </c>
    </row>
    <row r="171" spans="1:2" x14ac:dyDescent="0.4">
      <c r="A171" t="s">
        <v>195</v>
      </c>
      <c r="B171" t="s">
        <v>220</v>
      </c>
    </row>
    <row r="172" spans="1:2" x14ac:dyDescent="0.4">
      <c r="A172" t="s">
        <v>196</v>
      </c>
      <c r="B172" t="s">
        <v>221</v>
      </c>
    </row>
    <row r="173" spans="1:2" x14ac:dyDescent="0.4">
      <c r="A173" t="s">
        <v>197</v>
      </c>
      <c r="B173" t="s">
        <v>222</v>
      </c>
    </row>
    <row r="174" spans="1:2" x14ac:dyDescent="0.4">
      <c r="A174" t="s">
        <v>198</v>
      </c>
      <c r="B174" t="s">
        <v>223</v>
      </c>
    </row>
    <row r="175" spans="1:2" x14ac:dyDescent="0.4">
      <c r="A175" t="s">
        <v>199</v>
      </c>
      <c r="B175" t="s">
        <v>224</v>
      </c>
    </row>
  </sheetData>
  <sheetProtection sheet="1" objects="1" scenarios="1"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main</vt:lpstr>
      <vt:lpstr>output</vt:lpstr>
      <vt:lpstr>計算式</vt:lpstr>
      <vt:lpstr>shukei</vt:lpstr>
      <vt:lpstr>datasheet</vt:lpstr>
      <vt:lpstr>国勢調査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PE05 43</dc:creator>
  <cp:lastModifiedBy>PE05 43</cp:lastModifiedBy>
  <cp:lastPrinted>2020-09-24T06:47:38Z</cp:lastPrinted>
  <dcterms:created xsi:type="dcterms:W3CDTF">2020-09-24T01:20:26Z</dcterms:created>
  <dcterms:modified xsi:type="dcterms:W3CDTF">2021-03-23T05:28:01Z</dcterms:modified>
</cp:coreProperties>
</file>